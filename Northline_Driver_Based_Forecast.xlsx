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ver" sheetId="1" state="visible" r:id="rId1"/>
    <sheet name="01_Assumptions" sheetId="2" state="visible" r:id="rId2"/>
    <sheet name="02_Revenue_Build" sheetId="3" state="visible" r:id="rId3"/>
    <sheet name="03_COGS_Build" sheetId="4" state="visible" r:id="rId4"/>
    <sheet name="04_OpEx" sheetId="5" state="visible" r:id="rId5"/>
    <sheet name="05_P&amp;L_Forecast" sheetId="6" state="visible" r:id="rId6"/>
    <sheet name="06_Bridge" sheetId="7" state="visible" r:id="rId7"/>
    <sheet name="07_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_($* #,##0_);_($* (#,##0);_($* &quot;-&quot;??_);_(@_)"/>
    <numFmt numFmtId="167" formatCode="#,##0.0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i val="1"/>
      <color rgb="00666666"/>
      <sz val="10"/>
    </font>
    <font>
      <name val="Calibri"/>
      <b val="1"/>
      <sz val="11"/>
    </font>
    <font>
      <name val="Calibri"/>
      <b val="1"/>
      <color rgb="000000FF"/>
      <sz val="11"/>
    </font>
    <font>
      <name val="Calibri"/>
      <color rgb="000563C1"/>
      <sz val="11"/>
      <u val="single"/>
    </font>
    <font>
      <name val="Calibri"/>
      <color rgb="000000FF"/>
      <sz val="11"/>
    </font>
    <font>
      <name val="Calibri"/>
      <b val="1"/>
      <color rgb="00000000"/>
      <sz val="11"/>
    </font>
    <font>
      <name val="Calibri"/>
      <i val="1"/>
      <color rgb="00666666"/>
      <sz val="9"/>
    </font>
    <font>
      <name val="Calibri"/>
      <color rgb="00000000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6E3F0"/>
      </patternFill>
    </fill>
    <fill>
      <patternFill patternType="solid">
        <fgColor rgb="00C6EFCE"/>
      </patternFill>
    </fill>
    <fill>
      <patternFill patternType="solid">
        <fgColor rgb="001F4E7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2" borderId="0" pivotButton="0" quotePrefix="0" xfId="0"/>
    <xf numFmtId="0" fontId="6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1" fontId="7" fillId="2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9" fillId="0" borderId="0" pivotButton="0" quotePrefix="0" xfId="0"/>
    <xf numFmtId="164" fontId="10" fillId="0" borderId="1" applyAlignment="1" pivotButton="0" quotePrefix="0" xfId="0">
      <alignment horizontal="center"/>
    </xf>
    <xf numFmtId="0" fontId="11" fillId="5" borderId="1" applyAlignment="1" pivotButton="0" quotePrefix="0" xfId="0">
      <alignment horizontal="center" wrapText="1"/>
    </xf>
    <xf numFmtId="0" fontId="0" fillId="0" borderId="1" pivotButton="0" quotePrefix="0" xfId="0"/>
    <xf numFmtId="164" fontId="7" fillId="2" borderId="1" applyAlignment="1" pivotButton="0" quotePrefix="0" xfId="0">
      <alignment horizontal="center"/>
    </xf>
    <xf numFmtId="165" fontId="7" fillId="2" borderId="1" applyAlignment="1" pivotButton="0" quotePrefix="0" xfId="0">
      <alignment horizontal="center"/>
    </xf>
    <xf numFmtId="0" fontId="4" fillId="0" borderId="1" pivotButton="0" quotePrefix="0" xfId="0"/>
    <xf numFmtId="2" fontId="7" fillId="2" borderId="1" applyAlignment="1" pivotButton="0" quotePrefix="0" xfId="0">
      <alignment horizontal="center"/>
    </xf>
    <xf numFmtId="2" fontId="10" fillId="0" borderId="1" applyAlignment="1" pivotButton="0" quotePrefix="0" xfId="0">
      <alignment horizontal="center"/>
    </xf>
    <xf numFmtId="2" fontId="8" fillId="4" borderId="1" applyAlignment="1" pivotButton="0" quotePrefix="0" xfId="0">
      <alignment horizontal="center"/>
    </xf>
    <xf numFmtId="166" fontId="7" fillId="2" borderId="1" applyAlignment="1" pivotButton="0" quotePrefix="0" xfId="0">
      <alignment horizontal="center"/>
    </xf>
    <xf numFmtId="166" fontId="8" fillId="4" borderId="1" applyAlignment="1" pivotButton="0" quotePrefix="0" xfId="0">
      <alignment horizontal="center"/>
    </xf>
    <xf numFmtId="3" fontId="7" fillId="2" borderId="1" applyAlignment="1" pivotButton="0" quotePrefix="0" xfId="0">
      <alignment horizontal="center"/>
    </xf>
    <xf numFmtId="3" fontId="8" fillId="4" borderId="1" applyAlignment="1" pivotButton="0" quotePrefix="0" xfId="0">
      <alignment horizontal="center"/>
    </xf>
    <xf numFmtId="0" fontId="9" fillId="0" borderId="0" applyAlignment="1" pivotButton="0" quotePrefix="0" xfId="0">
      <alignment wrapText="1"/>
    </xf>
    <xf numFmtId="3" fontId="10" fillId="0" borderId="1" applyAlignment="1" pivotButton="0" quotePrefix="0" xfId="0">
      <alignment horizontal="center"/>
    </xf>
    <xf numFmtId="166" fontId="10" fillId="0" borderId="1" applyAlignment="1" pivotButton="0" quotePrefix="0" xfId="0">
      <alignment horizontal="center"/>
    </xf>
    <xf numFmtId="165" fontId="10" fillId="0" borderId="1" applyAlignment="1" pivotButton="0" quotePrefix="0" xfId="0">
      <alignment horizontal="center"/>
    </xf>
    <xf numFmtId="167" fontId="10" fillId="0" borderId="1" applyAlignment="1" pivotButton="0" quotePrefix="0" xfId="0">
      <alignment horizontal="center"/>
    </xf>
    <xf numFmtId="167" fontId="8" fillId="4" borderId="1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10" fillId="0" borderId="1" pivotButton="0" quotePrefix="0" xfId="0"/>
    <xf numFmtId="0" fontId="10" fillId="6" borderId="1" pivotButton="0" quotePrefix="0" xfId="0"/>
    <xf numFmtId="165" fontId="10" fillId="6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9" fillId="0" borderId="1" pivotButton="0" quotePrefix="0" xfId="0"/>
    <xf numFmtId="0" fontId="9" fillId="0" borderId="1" applyAlignment="1" pivotButton="0" quotePrefix="0" xfId="0">
      <alignment wrapText="1"/>
    </xf>
    <xf numFmtId="0" fontId="11" fillId="5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Revenue: forecast vs plan ($000s)</a:t>
            </a:r>
          </a:p>
        </rich>
      </tx>
    </title>
    <plotArea>
      <lineChart>
        <grouping val="standard"/>
        <ser>
          <idx val="0"/>
          <order val="0"/>
          <tx>
            <strRef>
              <f>'05_P&amp;L_Forecast'!B32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'05_P&amp;L_Forecast'!$C$31:$N$31</f>
            </numRef>
          </cat>
          <val>
            <numRef>
              <f>'05_P&amp;L_Forecast'!$C$32:$N$32</f>
            </numRef>
          </val>
        </ser>
        <ser>
          <idx val="1"/>
          <order val="1"/>
          <tx>
            <strRef>
              <f>'05_P&amp;L_Forecast'!B33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'05_P&amp;L_Forecast'!$C$31:$N$31</f>
            </numRef>
          </cat>
          <val>
            <numRef>
              <f>'05_P&amp;L_Forecast'!$C$33:$N$33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$000s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EBITDA: forecast vs plan ($000s)</a:t>
            </a:r>
          </a:p>
        </rich>
      </tx>
    </title>
    <plotArea>
      <lineChart>
        <grouping val="standard"/>
        <ser>
          <idx val="0"/>
          <order val="0"/>
          <tx>
            <strRef>
              <f>'05_P&amp;L_Forecast'!B34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'05_P&amp;L_Forecast'!$C$31:$N$31</f>
            </numRef>
          </cat>
          <val>
            <numRef>
              <f>'05_P&amp;L_Forecast'!$C$34:$N$34</f>
            </numRef>
          </val>
        </ser>
        <ser>
          <idx val="1"/>
          <order val="1"/>
          <tx>
            <strRef>
              <f>'05_P&amp;L_Forecast'!B35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'05_P&amp;L_Forecast'!$C$31:$N$31</f>
            </numRef>
          </cat>
          <val>
            <numRef>
              <f>'05_P&amp;L_Forecast'!$C$35:$N$35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$000s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EBITDA bridge — plan to forecast ($000s)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'06_Bridge'!C53</f>
            </strRef>
          </tx>
          <spPr>
            <a:ln>
              <a:prstDash val="solid"/>
            </a:ln>
          </spPr>
          <cat>
            <numRef>
              <f>'06_Bridge'!$B$54:$B$58</f>
            </numRef>
          </cat>
          <val>
            <numRef>
              <f>'06_Bridge'!$C$54:$C$58</f>
            </numRef>
          </val>
        </ser>
        <ser>
          <idx val="1"/>
          <order val="1"/>
          <tx>
            <strRef>
              <f>'06_Bridge'!D53</f>
            </strRef>
          </tx>
          <spPr>
            <a:ln>
              <a:prstDash val="solid"/>
            </a:ln>
          </spPr>
          <cat>
            <numRef>
              <f>'06_Bridge'!$B$54:$B$58</f>
            </numRef>
          </cat>
          <val>
            <numRef>
              <f>'06_Bridge'!$D$54:$D$58</f>
            </numRef>
          </val>
        </ser>
        <ser>
          <idx val="2"/>
          <order val="2"/>
          <tx>
            <strRef>
              <f>'06_Bridge'!E53</f>
            </strRef>
          </tx>
          <spPr>
            <a:ln>
              <a:prstDash val="solid"/>
            </a:ln>
          </spPr>
          <cat>
            <numRef>
              <f>'06_Bridge'!$B$54:$B$58</f>
            </numRef>
          </cat>
          <val>
            <numRef>
              <f>'06_Bridge'!$E$54:$E$58</f>
            </numRef>
          </val>
        </ser>
        <ser>
          <idx val="3"/>
          <order val="3"/>
          <tx>
            <strRef>
              <f>'06_Bridge'!F53</f>
            </strRef>
          </tx>
          <spPr>
            <a:ln>
              <a:prstDash val="solid"/>
            </a:ln>
          </spPr>
          <cat>
            <numRef>
              <f>'06_Bridge'!$B$54:$B$58</f>
            </numRef>
          </cat>
          <val>
            <numRef>
              <f>'06_Bridge'!$F$54:$F$58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$000s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36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36</row>
      <rowOff>0</rowOff>
    </from>
    <ext cx="54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59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B2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Northline Consumer Products</t>
        </is>
      </c>
    </row>
    <row r="3">
      <c r="B3" s="2" t="inlineStr">
        <is>
          <t>Driver-based P&amp;L forecast  ·  volume × price  ·  COGS drivers  ·  OpEx by cost center</t>
        </is>
      </c>
    </row>
    <row r="4">
      <c r="B4" s="3" t="inlineStr">
        <is>
          <t>FY2026 monthly  ·  plan vs reforecast  ·  fictional CPG company  ·  $000s</t>
        </is>
      </c>
    </row>
    <row r="6">
      <c r="B6" s="4" t="inlineStr">
        <is>
          <t>What this file is</t>
        </is>
      </c>
    </row>
    <row r="7" ht="62" customHeight="1">
      <c r="B7" s="5" t="inlineStr">
        <is>
          <t>A twelve-month driver-based P&amp;L for a fictional mid-size CPG company. Revenue is volume × net price by product line. COGS is volume × material / labor / overhead per case. OpEx is built by cost center (rate + monthly fixed). Plan and latest-view forecast live on Assumptions; the P&amp;L and the plan-vs-forecast bridge are formulas. A scenario toggle (Base / Upside / Downside) scales forecast volume, price, unit cost, and discretionary OpEx.</t>
        </is>
      </c>
    </row>
    <row r="9">
      <c r="B9" s="4" t="inlineStr">
        <is>
          <t>How to use</t>
        </is>
      </c>
    </row>
    <row r="10">
      <c r="B10" t="inlineStr">
        <is>
          <t>1. Edit yellow cells on 01_Assumptions (scenario, prices, unit costs, volumes, OpEx rates and monthly fixed).</t>
        </is>
      </c>
    </row>
    <row r="11">
      <c r="B11" t="inlineStr">
        <is>
          <t>2. Read volume × price and mix on 02_Revenue_Build (plan, scenario-applied forecast, variance).</t>
        </is>
      </c>
    </row>
    <row r="12">
      <c r="B12" t="inlineStr">
        <is>
          <t>3. Read unit-cost COGS and gross margin on 03_COGS_Build.</t>
        </is>
      </c>
    </row>
    <row r="13">
      <c r="B13" t="inlineStr">
        <is>
          <t>4. Read cost-center OpEx (selling, marketing, distribution, G&amp;A, R&amp;D) on 04_OpEx.</t>
        </is>
      </c>
    </row>
    <row r="14">
      <c r="B14" t="inlineStr">
        <is>
          <t>5. Read the 12-month P&amp;L on 05_P&amp;L_Forecast. Walk plan → forecast on 06_Bridge (volume / mix / price / cost / OpEx).</t>
        </is>
      </c>
    </row>
    <row r="16">
      <c r="B16" s="4" t="inlineStr">
        <is>
          <t>File conventions</t>
        </is>
      </c>
    </row>
    <row r="17">
      <c r="B17" s="6" t="inlineStr">
        <is>
          <t>Yellow cells with blue font = inputs. Black font = formulas. Green cells = key outputs.</t>
        </is>
      </c>
    </row>
    <row r="18">
      <c r="B18" t="inlineStr">
        <is>
          <t>Forecast column is the latest view. Scenario factors scale that view (not the locked plan).</t>
        </is>
      </c>
    </row>
    <row r="19">
      <c r="B19" t="inlineStr">
        <is>
          <t>All figures are fictional. There is no employer data in this file. Dollar figures in $000s. Volume in 000 cases.</t>
        </is>
      </c>
    </row>
    <row r="21">
      <c r="B21" s="4" t="inlineStr">
        <is>
          <t>Portfolio</t>
        </is>
      </c>
    </row>
    <row r="22">
      <c r="B22" t="inlineStr">
        <is>
          <t>Sai Siri Bandaru — Financial Analyst | FP&amp;A | forecasting, variance analysis, Excel</t>
        </is>
      </c>
    </row>
    <row r="23">
      <c r="B23" s="7" t="inlineStr">
        <is>
          <t>https://github.com/saisiri-bandaru</t>
        </is>
      </c>
    </row>
  </sheetData>
  <pageMargins left="0.75" right="0.75" top="1" bottom="1" header="0.5" footer="0.5"/>
  <pageSetup orientation="landscape" paperSize="3" fitToHeight="1" fitToWidth="1"/>
  <headerFooter>
    <oddHeader/>
    <oddFooter>&amp;LNorthline Consumer Products  |  fictional sample  |  $000s&amp;RPage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7C948"/>
    <outlinePr summaryBelow="1" summaryRight="1"/>
    <pageSetUpPr fitToPage="1"/>
  </sheetPr>
  <dimension ref="B2:O7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2">
      <c r="B2" s="1" t="inlineStr">
        <is>
          <t>Assumptions</t>
        </is>
      </c>
    </row>
    <row r="3">
      <c r="B3" s="3" t="inlineStr">
        <is>
          <t>Yellow + blue = inputs. Scenario, prices, unit costs, volumes, and OpEx rates drive every other tab.</t>
        </is>
      </c>
    </row>
    <row r="5">
      <c r="B5" s="8" t="inlineStr">
        <is>
          <t>Control panel</t>
        </is>
      </c>
      <c r="C5" s="9" t="n"/>
      <c r="D5" s="9" t="n"/>
      <c r="E5" s="9" t="n"/>
    </row>
    <row r="6">
      <c r="B6" t="inlineStr">
        <is>
          <t>Scenario (1 = Base, 2 = Upside, 3 = Downside)</t>
        </is>
      </c>
      <c r="C6" s="10" t="n">
        <v>1</v>
      </c>
      <c r="D6" s="11">
        <f>INDEX({"Base","Upside","Downside"},1,C6)</f>
        <v/>
      </c>
      <c r="E6" s="12" t="inlineStr">
        <is>
          <t>Scales the latest-view forecast only. Plan stays put.</t>
        </is>
      </c>
    </row>
    <row r="7">
      <c r="B7" t="inlineStr">
        <is>
          <t>Volume factor (on forecast volume)</t>
        </is>
      </c>
      <c r="C7" s="13">
        <f>INDEX($D$15:$D$17,$C$6)</f>
        <v/>
      </c>
    </row>
    <row r="8">
      <c r="B8" t="inlineStr">
        <is>
          <t>Price factor (on forecast net $/case)</t>
        </is>
      </c>
      <c r="C8" s="13">
        <f>INDEX($E$15:$E$17,$C$6)</f>
        <v/>
      </c>
    </row>
    <row r="9">
      <c r="B9" t="inlineStr">
        <is>
          <t>Unit-cost factor (on forecast CPU)</t>
        </is>
      </c>
      <c r="C9" s="13">
        <f>INDEX($F$15:$F$17,$C$6)</f>
        <v/>
      </c>
    </row>
    <row r="10">
      <c r="B10" t="inlineStr">
        <is>
          <t>Discretionary OpEx factor (marketing + R&amp;D fixed)</t>
        </is>
      </c>
      <c r="C10" s="13">
        <f>INDEX($G$15:$G$17,$C$6)</f>
        <v/>
      </c>
    </row>
    <row r="12">
      <c r="B12" s="8" t="inlineStr">
        <is>
          <t>Scenario table (inputs)</t>
        </is>
      </c>
      <c r="C12" s="9" t="n"/>
      <c r="D12" s="9" t="n"/>
      <c r="E12" s="9" t="n"/>
      <c r="F12" s="9" t="n"/>
      <c r="G12" s="9" t="n"/>
    </row>
    <row r="13">
      <c r="B13" s="14" t="inlineStr">
        <is>
          <t>#</t>
        </is>
      </c>
      <c r="C13" s="14" t="inlineStr">
        <is>
          <t>Name</t>
        </is>
      </c>
      <c r="D13" s="14" t="inlineStr">
        <is>
          <t>Volume</t>
        </is>
      </c>
      <c r="E13" s="14" t="inlineStr">
        <is>
          <t>Price</t>
        </is>
      </c>
      <c r="F13" s="14" t="inlineStr">
        <is>
          <t>Unit cost</t>
        </is>
      </c>
      <c r="G13" s="14" t="inlineStr">
        <is>
          <t>Disc. OpEx</t>
        </is>
      </c>
    </row>
    <row r="15">
      <c r="B15" s="15" t="n">
        <v>1</v>
      </c>
      <c r="C15" s="15" t="inlineStr">
        <is>
          <t>Base</t>
        </is>
      </c>
      <c r="D15" s="16" t="n">
        <v>1</v>
      </c>
      <c r="E15" s="16" t="n">
        <v>1</v>
      </c>
      <c r="F15" s="16" t="n">
        <v>1</v>
      </c>
      <c r="G15" s="16" t="n">
        <v>1</v>
      </c>
    </row>
    <row r="16">
      <c r="B16" s="15" t="n">
        <v>2</v>
      </c>
      <c r="C16" s="15" t="inlineStr">
        <is>
          <t>Upside</t>
        </is>
      </c>
      <c r="D16" s="16" t="n">
        <v>1.045</v>
      </c>
      <c r="E16" s="16" t="n">
        <v>1.012</v>
      </c>
      <c r="F16" s="16" t="n">
        <v>0.985</v>
      </c>
      <c r="G16" s="16" t="n">
        <v>1.03</v>
      </c>
    </row>
    <row r="17">
      <c r="B17" s="15" t="n">
        <v>3</v>
      </c>
      <c r="C17" s="15" t="inlineStr">
        <is>
          <t>Downside</t>
        </is>
      </c>
      <c r="D17" s="16" t="n">
        <v>0.955</v>
      </c>
      <c r="E17" s="16" t="n">
        <v>0.988</v>
      </c>
      <c r="F17" s="16" t="n">
        <v>1.025</v>
      </c>
      <c r="G17" s="16" t="n">
        <v>0.97</v>
      </c>
    </row>
    <row r="19">
      <c r="B19" s="8" t="inlineStr">
        <is>
          <t>Other drivers</t>
        </is>
      </c>
      <c r="C19" s="9" t="n"/>
      <c r="D19" s="9" t="n"/>
    </row>
    <row r="20">
      <c r="B20" t="inlineStr">
        <is>
          <t>Tax rate</t>
        </is>
      </c>
      <c r="C20" s="17" t="n">
        <v>0.25</v>
      </c>
    </row>
    <row r="21">
      <c r="B21" t="inlineStr">
        <is>
          <t>D&amp;A % of sales</t>
        </is>
      </c>
      <c r="C21" s="17" t="n">
        <v>0.034</v>
      </c>
    </row>
    <row r="22">
      <c r="B22" t="inlineStr">
        <is>
          <t>Cost inflation (forecast vs plan CPU)</t>
        </is>
      </c>
      <c r="C22" s="17" t="n">
        <v>0.018</v>
      </c>
      <c r="D22" s="12" t="inlineStr">
        <is>
          <t>Applied before the scenario unit-cost factor. 1.8% commodity / conversion inflation in the sample.</t>
        </is>
      </c>
    </row>
    <row r="24">
      <c r="B24" s="8" t="inlineStr">
        <is>
          <t>Product economics</t>
        </is>
      </c>
      <c r="C24" s="9" t="n"/>
      <c r="D24" s="9" t="n"/>
      <c r="E24" s="9" t="n"/>
      <c r="F24" s="9" t="n"/>
      <c r="G24" s="9" t="n"/>
      <c r="H24" s="9" t="n"/>
      <c r="I24" s="9" t="n"/>
    </row>
    <row r="25">
      <c r="B25" s="14" t="inlineStr">
        <is>
          <t>Product</t>
        </is>
      </c>
      <c r="C25" s="14" t="inlineStr">
        <is>
          <t>Plan net $/case</t>
        </is>
      </c>
      <c r="D25" s="14" t="inlineStr">
        <is>
          <t>Fcst net $/case</t>
        </is>
      </c>
      <c r="E25" s="14" t="inlineStr">
        <is>
          <t>Material $/case</t>
        </is>
      </c>
      <c r="F25" s="14" t="inlineStr">
        <is>
          <t>Labor $/case</t>
        </is>
      </c>
      <c r="G25" s="14" t="inlineStr">
        <is>
          <t>Overhead $/case</t>
        </is>
      </c>
      <c r="H25" s="14" t="inlineStr">
        <is>
          <t>Plan CPU</t>
        </is>
      </c>
      <c r="I25" s="14" t="inlineStr">
        <is>
          <t>Fcst CPU</t>
        </is>
      </c>
    </row>
    <row r="26">
      <c r="B26" s="18" t="inlineStr">
        <is>
          <t>RTD Beverages</t>
        </is>
      </c>
      <c r="C26" s="19" t="n">
        <v>11.9</v>
      </c>
      <c r="D26" s="19" t="n">
        <v>11.75</v>
      </c>
      <c r="E26" s="19" t="n">
        <v>5.4</v>
      </c>
      <c r="F26" s="19" t="n">
        <v>1.05</v>
      </c>
      <c r="G26" s="19" t="n">
        <v>0.85</v>
      </c>
      <c r="H26" s="20">
        <f>E26+F26+G26</f>
        <v/>
      </c>
      <c r="I26" s="21">
        <f>H26*(1+$C$22)*$C$9</f>
        <v/>
      </c>
    </row>
    <row r="27">
      <c r="B27" s="18" t="inlineStr">
        <is>
          <t>Salty Snacks</t>
        </is>
      </c>
      <c r="C27" s="19" t="n">
        <v>14.2</v>
      </c>
      <c r="D27" s="19" t="n">
        <v>14.5</v>
      </c>
      <c r="E27" s="19" t="n">
        <v>6.2</v>
      </c>
      <c r="F27" s="19" t="n">
        <v>1.2</v>
      </c>
      <c r="G27" s="19" t="n">
        <v>0.95</v>
      </c>
      <c r="H27" s="20">
        <f>E27+F27+G27</f>
        <v/>
      </c>
      <c r="I27" s="21">
        <f>H27*(1+$C$22)*$C$9</f>
        <v/>
      </c>
    </row>
    <row r="28">
      <c r="B28" s="18" t="inlineStr">
        <is>
          <t>Household Care</t>
        </is>
      </c>
      <c r="C28" s="19" t="n">
        <v>16.5</v>
      </c>
      <c r="D28" s="19" t="n">
        <v>16.55</v>
      </c>
      <c r="E28" s="19" t="n">
        <v>7.4</v>
      </c>
      <c r="F28" s="19" t="n">
        <v>1.35</v>
      </c>
      <c r="G28" s="19" t="n">
        <v>1.1</v>
      </c>
      <c r="H28" s="20">
        <f>E28+F28+G28</f>
        <v/>
      </c>
      <c r="I28" s="21">
        <f>H28*(1+$C$22)*$C$9</f>
        <v/>
      </c>
    </row>
    <row r="29">
      <c r="B29" s="18" t="inlineStr">
        <is>
          <t>Personal Care</t>
        </is>
      </c>
      <c r="C29" s="19" t="n">
        <v>18.8</v>
      </c>
      <c r="D29" s="19" t="n">
        <v>19</v>
      </c>
      <c r="E29" s="19" t="n">
        <v>8.1</v>
      </c>
      <c r="F29" s="19" t="n">
        <v>1.5</v>
      </c>
      <c r="G29" s="19" t="n">
        <v>1.25</v>
      </c>
      <c r="H29" s="20">
        <f>E29+F29+G29</f>
        <v/>
      </c>
      <c r="I29" s="21">
        <f>H29*(1+$C$22)*$C$9</f>
        <v/>
      </c>
    </row>
    <row r="31">
      <c r="B31" s="8" t="inlineStr">
        <is>
          <t>OpEx rate drivers</t>
        </is>
      </c>
      <c r="C31" s="9" t="n"/>
      <c r="D31" s="9" t="n"/>
      <c r="E31" s="9" t="n"/>
    </row>
    <row r="32">
      <c r="B32" s="14" t="inlineStr">
        <is>
          <t>Driver</t>
        </is>
      </c>
      <c r="C32" s="14" t="inlineStr">
        <is>
          <t>Plan</t>
        </is>
      </c>
      <c r="D32" s="14" t="inlineStr">
        <is>
          <t>Forecast</t>
        </is>
      </c>
    </row>
    <row r="33">
      <c r="B33" t="inlineStr">
        <is>
          <t>Selling commission % of sales</t>
        </is>
      </c>
      <c r="C33" s="17" t="n">
        <v>0.028</v>
      </c>
      <c r="D33" s="17" t="n">
        <v>0.028</v>
      </c>
    </row>
    <row r="34">
      <c r="B34" t="inlineStr">
        <is>
          <t>Marketing % of sales</t>
        </is>
      </c>
      <c r="C34" s="17" t="n">
        <v>0.046</v>
      </c>
      <c r="D34" s="17" t="n">
        <v>0.049</v>
      </c>
    </row>
    <row r="35">
      <c r="B35" t="inlineStr">
        <is>
          <t>Distribution $ per case</t>
        </is>
      </c>
      <c r="C35" s="19" t="n">
        <v>0.68</v>
      </c>
      <c r="D35" s="19" t="n">
        <v>0.66</v>
      </c>
    </row>
    <row r="37">
      <c r="B37" s="8" t="inlineStr">
        <is>
          <t>Plan monthly fixed OpEx ($000s)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</row>
    <row r="38">
      <c r="C38" s="14" t="inlineStr">
        <is>
          <t>Jan-26</t>
        </is>
      </c>
      <c r="D38" s="14" t="inlineStr">
        <is>
          <t>Feb-26</t>
        </is>
      </c>
      <c r="E38" s="14" t="inlineStr">
        <is>
          <t>Mar-26</t>
        </is>
      </c>
      <c r="F38" s="14" t="inlineStr">
        <is>
          <t>Apr-26</t>
        </is>
      </c>
      <c r="G38" s="14" t="inlineStr">
        <is>
          <t>May-26</t>
        </is>
      </c>
      <c r="H38" s="14" t="inlineStr">
        <is>
          <t>Jun-26</t>
        </is>
      </c>
      <c r="I38" s="14" t="inlineStr">
        <is>
          <t>Jul-26</t>
        </is>
      </c>
      <c r="J38" s="14" t="inlineStr">
        <is>
          <t>Aug-26</t>
        </is>
      </c>
      <c r="K38" s="14" t="inlineStr">
        <is>
          <t>Sep-26</t>
        </is>
      </c>
      <c r="L38" s="14" t="inlineStr">
        <is>
          <t>Oct-26</t>
        </is>
      </c>
      <c r="M38" s="14" t="inlineStr">
        <is>
          <t>Nov-26</t>
        </is>
      </c>
      <c r="N38" s="14" t="inlineStr">
        <is>
          <t>Dec-26</t>
        </is>
      </c>
      <c r="O38" s="14" t="inlineStr">
        <is>
          <t>FY26</t>
        </is>
      </c>
    </row>
    <row r="39">
      <c r="B39" s="18" t="inlineStr">
        <is>
          <t>Selling</t>
        </is>
      </c>
      <c r="C39" s="22" t="n">
        <v>1100</v>
      </c>
      <c r="D39" s="22" t="n">
        <v>1100</v>
      </c>
      <c r="E39" s="22" t="n">
        <v>1100</v>
      </c>
      <c r="F39" s="22" t="n">
        <v>1100</v>
      </c>
      <c r="G39" s="22" t="n">
        <v>1100</v>
      </c>
      <c r="H39" s="22" t="n">
        <v>1100</v>
      </c>
      <c r="I39" s="22" t="n">
        <v>1100</v>
      </c>
      <c r="J39" s="22" t="n">
        <v>1100</v>
      </c>
      <c r="K39" s="22" t="n">
        <v>1100</v>
      </c>
      <c r="L39" s="22" t="n">
        <v>1100</v>
      </c>
      <c r="M39" s="22" t="n">
        <v>1100</v>
      </c>
      <c r="N39" s="22" t="n">
        <v>1100</v>
      </c>
      <c r="O39" s="23">
        <f>SUM(C39:N39)</f>
        <v/>
      </c>
    </row>
    <row r="40">
      <c r="B40" s="18" t="inlineStr">
        <is>
          <t>Marketing (campaigns)</t>
        </is>
      </c>
      <c r="C40" s="22" t="n">
        <v>900</v>
      </c>
      <c r="D40" s="22" t="n">
        <v>800</v>
      </c>
      <c r="E40" s="22" t="n">
        <v>1100</v>
      </c>
      <c r="F40" s="22" t="n">
        <v>1400</v>
      </c>
      <c r="G40" s="22" t="n">
        <v>1600</v>
      </c>
      <c r="H40" s="22" t="n">
        <v>1800</v>
      </c>
      <c r="I40" s="22" t="n">
        <v>1500</v>
      </c>
      <c r="J40" s="22" t="n">
        <v>1400</v>
      </c>
      <c r="K40" s="22" t="n">
        <v>1300</v>
      </c>
      <c r="L40" s="22" t="n">
        <v>2000</v>
      </c>
      <c r="M40" s="22" t="n">
        <v>2800</v>
      </c>
      <c r="N40" s="22" t="n">
        <v>3200</v>
      </c>
      <c r="O40" s="23">
        <f>SUM(C40:N40)</f>
        <v/>
      </c>
    </row>
    <row r="41">
      <c r="B41" s="18" t="inlineStr">
        <is>
          <t>Distribution</t>
        </is>
      </c>
      <c r="C41" s="22" t="n">
        <v>650</v>
      </c>
      <c r="D41" s="22" t="n">
        <v>650</v>
      </c>
      <c r="E41" s="22" t="n">
        <v>650</v>
      </c>
      <c r="F41" s="22" t="n">
        <v>650</v>
      </c>
      <c r="G41" s="22" t="n">
        <v>650</v>
      </c>
      <c r="H41" s="22" t="n">
        <v>650</v>
      </c>
      <c r="I41" s="22" t="n">
        <v>650</v>
      </c>
      <c r="J41" s="22" t="n">
        <v>650</v>
      </c>
      <c r="K41" s="22" t="n">
        <v>650</v>
      </c>
      <c r="L41" s="22" t="n">
        <v>650</v>
      </c>
      <c r="M41" s="22" t="n">
        <v>650</v>
      </c>
      <c r="N41" s="22" t="n">
        <v>650</v>
      </c>
      <c r="O41" s="23">
        <f>SUM(C41:N41)</f>
        <v/>
      </c>
    </row>
    <row r="42">
      <c r="B42" s="18" t="inlineStr">
        <is>
          <t>G&amp;A</t>
        </is>
      </c>
      <c r="C42" s="22" t="n">
        <v>5100</v>
      </c>
      <c r="D42" s="22" t="n">
        <v>5100</v>
      </c>
      <c r="E42" s="22" t="n">
        <v>5100</v>
      </c>
      <c r="F42" s="22" t="n">
        <v>5100</v>
      </c>
      <c r="G42" s="22" t="n">
        <v>5100</v>
      </c>
      <c r="H42" s="22" t="n">
        <v>5100</v>
      </c>
      <c r="I42" s="22" t="n">
        <v>5100</v>
      </c>
      <c r="J42" s="22" t="n">
        <v>5100</v>
      </c>
      <c r="K42" s="22" t="n">
        <v>5100</v>
      </c>
      <c r="L42" s="22" t="n">
        <v>5100</v>
      </c>
      <c r="M42" s="22" t="n">
        <v>5100</v>
      </c>
      <c r="N42" s="22" t="n">
        <v>5100</v>
      </c>
      <c r="O42" s="23">
        <f>SUM(C42:N42)</f>
        <v/>
      </c>
    </row>
    <row r="43">
      <c r="B43" s="18" t="inlineStr">
        <is>
          <t>R&amp;D</t>
        </is>
      </c>
      <c r="C43" s="22" t="n">
        <v>1550</v>
      </c>
      <c r="D43" s="22" t="n">
        <v>1550</v>
      </c>
      <c r="E43" s="22" t="n">
        <v>1550</v>
      </c>
      <c r="F43" s="22" t="n">
        <v>1550</v>
      </c>
      <c r="G43" s="22" t="n">
        <v>1550</v>
      </c>
      <c r="H43" s="22" t="n">
        <v>1550</v>
      </c>
      <c r="I43" s="22" t="n">
        <v>1550</v>
      </c>
      <c r="J43" s="22" t="n">
        <v>1550</v>
      </c>
      <c r="K43" s="22" t="n">
        <v>1550</v>
      </c>
      <c r="L43" s="22" t="n">
        <v>1550</v>
      </c>
      <c r="M43" s="22" t="n">
        <v>1550</v>
      </c>
      <c r="N43" s="22" t="n">
        <v>1550</v>
      </c>
      <c r="O43" s="23">
        <f>SUM(C43:N43)</f>
        <v/>
      </c>
    </row>
    <row r="44">
      <c r="B44" s="18" t="inlineStr">
        <is>
          <t>Total plan fixed OpEx</t>
        </is>
      </c>
      <c r="C44" s="23">
        <f>SUM(C39:C43)</f>
        <v/>
      </c>
      <c r="D44" s="23">
        <f>SUM(D39:D43)</f>
        <v/>
      </c>
      <c r="E44" s="23">
        <f>SUM(E39:E43)</f>
        <v/>
      </c>
      <c r="F44" s="23">
        <f>SUM(F39:F43)</f>
        <v/>
      </c>
      <c r="G44" s="23">
        <f>SUM(G39:G43)</f>
        <v/>
      </c>
      <c r="H44" s="23">
        <f>SUM(H39:H43)</f>
        <v/>
      </c>
      <c r="I44" s="23">
        <f>SUM(I39:I43)</f>
        <v/>
      </c>
      <c r="J44" s="23">
        <f>SUM(J39:J43)</f>
        <v/>
      </c>
      <c r="K44" s="23">
        <f>SUM(K39:K43)</f>
        <v/>
      </c>
      <c r="L44" s="23">
        <f>SUM(L39:L43)</f>
        <v/>
      </c>
      <c r="M44" s="23">
        <f>SUM(M39:M43)</f>
        <v/>
      </c>
      <c r="N44" s="23">
        <f>SUM(N39:N43)</f>
        <v/>
      </c>
      <c r="O44" s="23">
        <f>SUM(O39:O43)</f>
        <v/>
      </c>
    </row>
    <row r="46">
      <c r="B46" s="8" t="inlineStr">
        <is>
          <t>Forecast monthly fixed OpEx ($000s) — before discretionary factor on marketing + R&amp;D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</row>
    <row r="47">
      <c r="C47" s="14" t="inlineStr">
        <is>
          <t>Jan-26</t>
        </is>
      </c>
      <c r="D47" s="14" t="inlineStr">
        <is>
          <t>Feb-26</t>
        </is>
      </c>
      <c r="E47" s="14" t="inlineStr">
        <is>
          <t>Mar-26</t>
        </is>
      </c>
      <c r="F47" s="14" t="inlineStr">
        <is>
          <t>Apr-26</t>
        </is>
      </c>
      <c r="G47" s="14" t="inlineStr">
        <is>
          <t>May-26</t>
        </is>
      </c>
      <c r="H47" s="14" t="inlineStr">
        <is>
          <t>Jun-26</t>
        </is>
      </c>
      <c r="I47" s="14" t="inlineStr">
        <is>
          <t>Jul-26</t>
        </is>
      </c>
      <c r="J47" s="14" t="inlineStr">
        <is>
          <t>Aug-26</t>
        </is>
      </c>
      <c r="K47" s="14" t="inlineStr">
        <is>
          <t>Sep-26</t>
        </is>
      </c>
      <c r="L47" s="14" t="inlineStr">
        <is>
          <t>Oct-26</t>
        </is>
      </c>
      <c r="M47" s="14" t="inlineStr">
        <is>
          <t>Nov-26</t>
        </is>
      </c>
      <c r="N47" s="14" t="inlineStr">
        <is>
          <t>Dec-26</t>
        </is>
      </c>
      <c r="O47" s="14" t="inlineStr">
        <is>
          <t>FY26</t>
        </is>
      </c>
    </row>
    <row r="48">
      <c r="B48" s="18" t="inlineStr">
        <is>
          <t>Selling</t>
        </is>
      </c>
      <c r="C48" s="22" t="n">
        <v>1100</v>
      </c>
      <c r="D48" s="22" t="n">
        <v>1100</v>
      </c>
      <c r="E48" s="22" t="n">
        <v>1100</v>
      </c>
      <c r="F48" s="22" t="n">
        <v>1100</v>
      </c>
      <c r="G48" s="22" t="n">
        <v>1100</v>
      </c>
      <c r="H48" s="22" t="n">
        <v>1100</v>
      </c>
      <c r="I48" s="22" t="n">
        <v>1100</v>
      </c>
      <c r="J48" s="22" t="n">
        <v>1100</v>
      </c>
      <c r="K48" s="22" t="n">
        <v>1100</v>
      </c>
      <c r="L48" s="22" t="n">
        <v>1100</v>
      </c>
      <c r="M48" s="22" t="n">
        <v>1100</v>
      </c>
      <c r="N48" s="22" t="n">
        <v>1100</v>
      </c>
      <c r="O48" s="23">
        <f>SUM(C48:N48)</f>
        <v/>
      </c>
    </row>
    <row r="49">
      <c r="B49" s="18" t="inlineStr">
        <is>
          <t>Marketing (campaigns)</t>
        </is>
      </c>
      <c r="C49" s="22" t="n">
        <v>920</v>
      </c>
      <c r="D49" s="22" t="n">
        <v>820</v>
      </c>
      <c r="E49" s="22" t="n">
        <v>1120</v>
      </c>
      <c r="F49" s="22" t="n">
        <v>1450</v>
      </c>
      <c r="G49" s="22" t="n">
        <v>1680</v>
      </c>
      <c r="H49" s="22" t="n">
        <v>1900</v>
      </c>
      <c r="I49" s="22" t="n">
        <v>1620</v>
      </c>
      <c r="J49" s="22" t="n">
        <v>1520</v>
      </c>
      <c r="K49" s="22" t="n">
        <v>1420</v>
      </c>
      <c r="L49" s="22" t="n">
        <v>2200</v>
      </c>
      <c r="M49" s="22" t="n">
        <v>3100</v>
      </c>
      <c r="N49" s="22" t="n">
        <v>3500</v>
      </c>
      <c r="O49" s="23">
        <f>SUM(C49:N49)</f>
        <v/>
      </c>
    </row>
    <row r="50">
      <c r="B50" s="18" t="inlineStr">
        <is>
          <t>Distribution</t>
        </is>
      </c>
      <c r="C50" s="22" t="n">
        <v>630</v>
      </c>
      <c r="D50" s="22" t="n">
        <v>630</v>
      </c>
      <c r="E50" s="22" t="n">
        <v>630</v>
      </c>
      <c r="F50" s="22" t="n">
        <v>630</v>
      </c>
      <c r="G50" s="22" t="n">
        <v>630</v>
      </c>
      <c r="H50" s="22" t="n">
        <v>630</v>
      </c>
      <c r="I50" s="22" t="n">
        <v>630</v>
      </c>
      <c r="J50" s="22" t="n">
        <v>630</v>
      </c>
      <c r="K50" s="22" t="n">
        <v>630</v>
      </c>
      <c r="L50" s="22" t="n">
        <v>630</v>
      </c>
      <c r="M50" s="22" t="n">
        <v>630</v>
      </c>
      <c r="N50" s="22" t="n">
        <v>630</v>
      </c>
      <c r="O50" s="23">
        <f>SUM(C50:N50)</f>
        <v/>
      </c>
    </row>
    <row r="51">
      <c r="B51" s="18" t="inlineStr">
        <is>
          <t>G&amp;A</t>
        </is>
      </c>
      <c r="C51" s="22" t="n">
        <v>5150</v>
      </c>
      <c r="D51" s="22" t="n">
        <v>5150</v>
      </c>
      <c r="E51" s="22" t="n">
        <v>5150</v>
      </c>
      <c r="F51" s="22" t="n">
        <v>5150</v>
      </c>
      <c r="G51" s="22" t="n">
        <v>5150</v>
      </c>
      <c r="H51" s="22" t="n">
        <v>5150</v>
      </c>
      <c r="I51" s="22" t="n">
        <v>5150</v>
      </c>
      <c r="J51" s="22" t="n">
        <v>5150</v>
      </c>
      <c r="K51" s="22" t="n">
        <v>5150</v>
      </c>
      <c r="L51" s="22" t="n">
        <v>5150</v>
      </c>
      <c r="M51" s="22" t="n">
        <v>5150</v>
      </c>
      <c r="N51" s="22" t="n">
        <v>5150</v>
      </c>
      <c r="O51" s="23">
        <f>SUM(C51:N51)</f>
        <v/>
      </c>
    </row>
    <row r="52">
      <c r="B52" s="18" t="inlineStr">
        <is>
          <t>R&amp;D</t>
        </is>
      </c>
      <c r="C52" s="22" t="n">
        <v>1630</v>
      </c>
      <c r="D52" s="22" t="n">
        <v>1630</v>
      </c>
      <c r="E52" s="22" t="n">
        <v>1630</v>
      </c>
      <c r="F52" s="22" t="n">
        <v>1630</v>
      </c>
      <c r="G52" s="22" t="n">
        <v>1630</v>
      </c>
      <c r="H52" s="22" t="n">
        <v>1630</v>
      </c>
      <c r="I52" s="22" t="n">
        <v>1630</v>
      </c>
      <c r="J52" s="22" t="n">
        <v>1630</v>
      </c>
      <c r="K52" s="22" t="n">
        <v>1630</v>
      </c>
      <c r="L52" s="22" t="n">
        <v>1630</v>
      </c>
      <c r="M52" s="22" t="n">
        <v>1630</v>
      </c>
      <c r="N52" s="22" t="n">
        <v>1630</v>
      </c>
      <c r="O52" s="23">
        <f>SUM(C52:N52)</f>
        <v/>
      </c>
    </row>
    <row r="53">
      <c r="B53" s="18" t="inlineStr">
        <is>
          <t>Total forecast fixed OpEx (raw)</t>
        </is>
      </c>
      <c r="C53" s="23">
        <f>SUM(C48:C52)</f>
        <v/>
      </c>
      <c r="D53" s="23">
        <f>SUM(D48:D52)</f>
        <v/>
      </c>
      <c r="E53" s="23">
        <f>SUM(E48:E52)</f>
        <v/>
      </c>
      <c r="F53" s="23">
        <f>SUM(F48:F52)</f>
        <v/>
      </c>
      <c r="G53" s="23">
        <f>SUM(G48:G52)</f>
        <v/>
      </c>
      <c r="H53" s="23">
        <f>SUM(H48:H52)</f>
        <v/>
      </c>
      <c r="I53" s="23">
        <f>SUM(I48:I52)</f>
        <v/>
      </c>
      <c r="J53" s="23">
        <f>SUM(J48:J52)</f>
        <v/>
      </c>
      <c r="K53" s="23">
        <f>SUM(K48:K52)</f>
        <v/>
      </c>
      <c r="L53" s="23">
        <f>SUM(L48:L52)</f>
        <v/>
      </c>
      <c r="M53" s="23">
        <f>SUM(M48:M52)</f>
        <v/>
      </c>
      <c r="N53" s="23">
        <f>SUM(N48:N52)</f>
        <v/>
      </c>
      <c r="O53" s="23">
        <f>SUM(O48:O52)</f>
        <v/>
      </c>
    </row>
    <row r="55">
      <c r="B55" s="8" t="inlineStr">
        <is>
          <t>Plan volume (000 cases)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</row>
    <row r="56">
      <c r="C56" s="14" t="inlineStr">
        <is>
          <t>Jan-26</t>
        </is>
      </c>
      <c r="D56" s="14" t="inlineStr">
        <is>
          <t>Feb-26</t>
        </is>
      </c>
      <c r="E56" s="14" t="inlineStr">
        <is>
          <t>Mar-26</t>
        </is>
      </c>
      <c r="F56" s="14" t="inlineStr">
        <is>
          <t>Apr-26</t>
        </is>
      </c>
      <c r="G56" s="14" t="inlineStr">
        <is>
          <t>May-26</t>
        </is>
      </c>
      <c r="H56" s="14" t="inlineStr">
        <is>
          <t>Jun-26</t>
        </is>
      </c>
      <c r="I56" s="14" t="inlineStr">
        <is>
          <t>Jul-26</t>
        </is>
      </c>
      <c r="J56" s="14" t="inlineStr">
        <is>
          <t>Aug-26</t>
        </is>
      </c>
      <c r="K56" s="14" t="inlineStr">
        <is>
          <t>Sep-26</t>
        </is>
      </c>
      <c r="L56" s="14" t="inlineStr">
        <is>
          <t>Oct-26</t>
        </is>
      </c>
      <c r="M56" s="14" t="inlineStr">
        <is>
          <t>Nov-26</t>
        </is>
      </c>
      <c r="N56" s="14" t="inlineStr">
        <is>
          <t>Dec-26</t>
        </is>
      </c>
      <c r="O56" s="14" t="inlineStr">
        <is>
          <t>FY26</t>
        </is>
      </c>
    </row>
    <row r="57">
      <c r="B57" s="18" t="inlineStr">
        <is>
          <t>RTD Beverages</t>
        </is>
      </c>
      <c r="C57" s="24" t="n">
        <v>2391</v>
      </c>
      <c r="D57" s="24" t="n">
        <v>2285</v>
      </c>
      <c r="E57" s="24" t="n">
        <v>2471</v>
      </c>
      <c r="F57" s="24" t="n">
        <v>2524</v>
      </c>
      <c r="G57" s="24" t="n">
        <v>2604</v>
      </c>
      <c r="H57" s="24" t="n">
        <v>2657</v>
      </c>
      <c r="I57" s="24" t="n">
        <v>2710</v>
      </c>
      <c r="J57" s="24" t="n">
        <v>2683</v>
      </c>
      <c r="K57" s="24" t="n">
        <v>2604</v>
      </c>
      <c r="L57" s="24" t="n">
        <v>2763</v>
      </c>
      <c r="M57" s="24" t="n">
        <v>2949</v>
      </c>
      <c r="N57" s="24" t="n">
        <v>3159</v>
      </c>
      <c r="O57" s="25">
        <f>SUM(C57:N57)</f>
        <v/>
      </c>
    </row>
    <row r="58">
      <c r="B58" s="18" t="inlineStr">
        <is>
          <t>Salty Snacks</t>
        </is>
      </c>
      <c r="C58" s="24" t="n">
        <v>1320</v>
      </c>
      <c r="D58" s="24" t="n">
        <v>1261</v>
      </c>
      <c r="E58" s="24" t="n">
        <v>1364</v>
      </c>
      <c r="F58" s="24" t="n">
        <v>1393</v>
      </c>
      <c r="G58" s="24" t="n">
        <v>1437</v>
      </c>
      <c r="H58" s="24" t="n">
        <v>1466</v>
      </c>
      <c r="I58" s="24" t="n">
        <v>1495</v>
      </c>
      <c r="J58" s="24" t="n">
        <v>1481</v>
      </c>
      <c r="K58" s="24" t="n">
        <v>1437</v>
      </c>
      <c r="L58" s="24" t="n">
        <v>1525</v>
      </c>
      <c r="M58" s="24" t="n">
        <v>1627</v>
      </c>
      <c r="N58" s="24" t="n">
        <v>1744</v>
      </c>
      <c r="O58" s="25">
        <f>SUM(C58:N58)</f>
        <v/>
      </c>
    </row>
    <row r="59">
      <c r="B59" s="18" t="inlineStr">
        <is>
          <t>Household Care</t>
        </is>
      </c>
      <c r="C59" s="24" t="n">
        <v>816</v>
      </c>
      <c r="D59" s="24" t="n">
        <v>780</v>
      </c>
      <c r="E59" s="24" t="n">
        <v>843</v>
      </c>
      <c r="F59" s="24" t="n">
        <v>861</v>
      </c>
      <c r="G59" s="24" t="n">
        <v>888</v>
      </c>
      <c r="H59" s="24" t="n">
        <v>906</v>
      </c>
      <c r="I59" s="24" t="n">
        <v>925</v>
      </c>
      <c r="J59" s="24" t="n">
        <v>915</v>
      </c>
      <c r="K59" s="24" t="n">
        <v>888</v>
      </c>
      <c r="L59" s="24" t="n">
        <v>943</v>
      </c>
      <c r="M59" s="24" t="n">
        <v>1006</v>
      </c>
      <c r="N59" s="24" t="n">
        <v>1079</v>
      </c>
      <c r="O59" s="25">
        <f>SUM(C59:N59)</f>
        <v/>
      </c>
    </row>
    <row r="60">
      <c r="B60" s="18" t="inlineStr">
        <is>
          <t>Personal Care</t>
        </is>
      </c>
      <c r="C60" s="24" t="n">
        <v>570</v>
      </c>
      <c r="D60" s="24" t="n">
        <v>545</v>
      </c>
      <c r="E60" s="24" t="n">
        <v>589</v>
      </c>
      <c r="F60" s="24" t="n">
        <v>602</v>
      </c>
      <c r="G60" s="24" t="n">
        <v>621</v>
      </c>
      <c r="H60" s="24" t="n">
        <v>633</v>
      </c>
      <c r="I60" s="24" t="n">
        <v>646</v>
      </c>
      <c r="J60" s="24" t="n">
        <v>640</v>
      </c>
      <c r="K60" s="24" t="n">
        <v>621</v>
      </c>
      <c r="L60" s="24" t="n">
        <v>659</v>
      </c>
      <c r="M60" s="24" t="n">
        <v>703</v>
      </c>
      <c r="N60" s="24" t="n">
        <v>751</v>
      </c>
      <c r="O60" s="25">
        <f>SUM(C60:N60)</f>
        <v/>
      </c>
    </row>
    <row r="61">
      <c r="B61" s="18" t="inlineStr">
        <is>
          <t>Total plan volume</t>
        </is>
      </c>
      <c r="C61" s="25">
        <f>SUM(C57:C60)</f>
        <v/>
      </c>
      <c r="D61" s="25">
        <f>SUM(D57:D60)</f>
        <v/>
      </c>
      <c r="E61" s="25">
        <f>SUM(E57:E60)</f>
        <v/>
      </c>
      <c r="F61" s="25">
        <f>SUM(F57:F60)</f>
        <v/>
      </c>
      <c r="G61" s="25">
        <f>SUM(G57:G60)</f>
        <v/>
      </c>
      <c r="H61" s="25">
        <f>SUM(H57:H60)</f>
        <v/>
      </c>
      <c r="I61" s="25">
        <f>SUM(I57:I60)</f>
        <v/>
      </c>
      <c r="J61" s="25">
        <f>SUM(J57:J60)</f>
        <v/>
      </c>
      <c r="K61" s="25">
        <f>SUM(K57:K60)</f>
        <v/>
      </c>
      <c r="L61" s="25">
        <f>SUM(L57:L60)</f>
        <v/>
      </c>
      <c r="M61" s="25">
        <f>SUM(M57:M60)</f>
        <v/>
      </c>
      <c r="N61" s="25">
        <f>SUM(N57:N60)</f>
        <v/>
      </c>
      <c r="O61" s="25">
        <f>SUM(O57:O60)</f>
        <v/>
      </c>
    </row>
    <row r="63">
      <c r="B63" s="8" t="inlineStr">
        <is>
          <t>Forecast volume — latest view (000 cases), before scenario factor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>
      <c r="C64" s="14" t="inlineStr">
        <is>
          <t>Jan-26</t>
        </is>
      </c>
      <c r="D64" s="14" t="inlineStr">
        <is>
          <t>Feb-26</t>
        </is>
      </c>
      <c r="E64" s="14" t="inlineStr">
        <is>
          <t>Mar-26</t>
        </is>
      </c>
      <c r="F64" s="14" t="inlineStr">
        <is>
          <t>Apr-26</t>
        </is>
      </c>
      <c r="G64" s="14" t="inlineStr">
        <is>
          <t>May-26</t>
        </is>
      </c>
      <c r="H64" s="14" t="inlineStr">
        <is>
          <t>Jun-26</t>
        </is>
      </c>
      <c r="I64" s="14" t="inlineStr">
        <is>
          <t>Jul-26</t>
        </is>
      </c>
      <c r="J64" s="14" t="inlineStr">
        <is>
          <t>Aug-26</t>
        </is>
      </c>
      <c r="K64" s="14" t="inlineStr">
        <is>
          <t>Sep-26</t>
        </is>
      </c>
      <c r="L64" s="14" t="inlineStr">
        <is>
          <t>Oct-26</t>
        </is>
      </c>
      <c r="M64" s="14" t="inlineStr">
        <is>
          <t>Nov-26</t>
        </is>
      </c>
      <c r="N64" s="14" t="inlineStr">
        <is>
          <t>Dec-26</t>
        </is>
      </c>
      <c r="O64" s="14" t="inlineStr">
        <is>
          <t>FY26</t>
        </is>
      </c>
    </row>
    <row r="65">
      <c r="B65" s="18" t="inlineStr">
        <is>
          <t>RTD Beverages</t>
        </is>
      </c>
      <c r="C65" s="24" t="n">
        <v>2348</v>
      </c>
      <c r="D65" s="24" t="n">
        <v>2244</v>
      </c>
      <c r="E65" s="24" t="n">
        <v>2427</v>
      </c>
      <c r="F65" s="24" t="n">
        <v>2479</v>
      </c>
      <c r="G65" s="24" t="n">
        <v>2557</v>
      </c>
      <c r="H65" s="24" t="n">
        <v>2609</v>
      </c>
      <c r="I65" s="24" t="n">
        <v>2661</v>
      </c>
      <c r="J65" s="24" t="n">
        <v>2635</v>
      </c>
      <c r="K65" s="24" t="n">
        <v>2557</v>
      </c>
      <c r="L65" s="24" t="n">
        <v>2713</v>
      </c>
      <c r="M65" s="24" t="n">
        <v>2896</v>
      </c>
      <c r="N65" s="24" t="n">
        <v>3102</v>
      </c>
      <c r="O65" s="25">
        <f>SUM(C65:N65)</f>
        <v/>
      </c>
    </row>
    <row r="66">
      <c r="B66" s="18" t="inlineStr">
        <is>
          <t>Salty Snacks</t>
        </is>
      </c>
      <c r="C66" s="24" t="n">
        <v>1383</v>
      </c>
      <c r="D66" s="24" t="n">
        <v>1322</v>
      </c>
      <c r="E66" s="24" t="n">
        <v>1429</v>
      </c>
      <c r="F66" s="24" t="n">
        <v>1460</v>
      </c>
      <c r="G66" s="24" t="n">
        <v>1506</v>
      </c>
      <c r="H66" s="24" t="n">
        <v>1536</v>
      </c>
      <c r="I66" s="24" t="n">
        <v>1567</v>
      </c>
      <c r="J66" s="24" t="n">
        <v>1552</v>
      </c>
      <c r="K66" s="24" t="n">
        <v>1506</v>
      </c>
      <c r="L66" s="24" t="n">
        <v>1598</v>
      </c>
      <c r="M66" s="24" t="n">
        <v>1705</v>
      </c>
      <c r="N66" s="24" t="n">
        <v>1828</v>
      </c>
      <c r="O66" s="25">
        <f>SUM(C66:N66)</f>
        <v/>
      </c>
    </row>
    <row r="67">
      <c r="B67" s="18" t="inlineStr">
        <is>
          <t>Household Care</t>
        </is>
      </c>
      <c r="C67" s="24" t="n">
        <v>823</v>
      </c>
      <c r="D67" s="24" t="n">
        <v>786</v>
      </c>
      <c r="E67" s="24" t="n">
        <v>850</v>
      </c>
      <c r="F67" s="24" t="n">
        <v>868</v>
      </c>
      <c r="G67" s="24" t="n">
        <v>895</v>
      </c>
      <c r="H67" s="24" t="n">
        <v>913</v>
      </c>
      <c r="I67" s="24" t="n">
        <v>932</v>
      </c>
      <c r="J67" s="24" t="n">
        <v>922</v>
      </c>
      <c r="K67" s="24" t="n">
        <v>895</v>
      </c>
      <c r="L67" s="24" t="n">
        <v>951</v>
      </c>
      <c r="M67" s="24" t="n">
        <v>1014</v>
      </c>
      <c r="N67" s="24" t="n">
        <v>1088</v>
      </c>
      <c r="O67" s="25">
        <f>SUM(C67:N67)</f>
        <v/>
      </c>
    </row>
    <row r="68">
      <c r="B68" s="18" t="inlineStr">
        <is>
          <t>Personal Care</t>
        </is>
      </c>
      <c r="C68" s="24" t="n">
        <v>605</v>
      </c>
      <c r="D68" s="24" t="n">
        <v>579</v>
      </c>
      <c r="E68" s="24" t="n">
        <v>626</v>
      </c>
      <c r="F68" s="24" t="n">
        <v>639</v>
      </c>
      <c r="G68" s="24" t="n">
        <v>660</v>
      </c>
      <c r="H68" s="24" t="n">
        <v>672</v>
      </c>
      <c r="I68" s="24" t="n">
        <v>686</v>
      </c>
      <c r="J68" s="24" t="n">
        <v>680</v>
      </c>
      <c r="K68" s="24" t="n">
        <v>660</v>
      </c>
      <c r="L68" s="24" t="n">
        <v>700</v>
      </c>
      <c r="M68" s="24" t="n">
        <v>747</v>
      </c>
      <c r="N68" s="24" t="n">
        <v>798</v>
      </c>
      <c r="O68" s="25">
        <f>SUM(C68:N68)</f>
        <v/>
      </c>
    </row>
    <row r="69">
      <c r="B69" s="18" t="inlineStr">
        <is>
          <t>Total forecast volume (raw)</t>
        </is>
      </c>
      <c r="C69" s="25">
        <f>SUM(C65:C68)</f>
        <v/>
      </c>
      <c r="D69" s="25">
        <f>SUM(D65:D68)</f>
        <v/>
      </c>
      <c r="E69" s="25">
        <f>SUM(E65:E68)</f>
        <v/>
      </c>
      <c r="F69" s="25">
        <f>SUM(F65:F68)</f>
        <v/>
      </c>
      <c r="G69" s="25">
        <f>SUM(G65:G68)</f>
        <v/>
      </c>
      <c r="H69" s="25">
        <f>SUM(H65:H68)</f>
        <v/>
      </c>
      <c r="I69" s="25">
        <f>SUM(I65:I68)</f>
        <v/>
      </c>
      <c r="J69" s="25">
        <f>SUM(J65:J68)</f>
        <v/>
      </c>
      <c r="K69" s="25">
        <f>SUM(K65:K68)</f>
        <v/>
      </c>
      <c r="L69" s="25">
        <f>SUM(L65:L68)</f>
        <v/>
      </c>
      <c r="M69" s="25">
        <f>SUM(M65:M68)</f>
        <v/>
      </c>
      <c r="N69" s="25">
        <f>SUM(N65:N68)</f>
        <v/>
      </c>
      <c r="O69" s="25">
        <f>SUM(O65:O68)</f>
        <v/>
      </c>
    </row>
    <row r="71" ht="36" customHeight="1">
      <c r="B71" s="26" t="inlineStr">
        <is>
          <t>Plan is the locked annual plan. Forecast is the latest view (reforecast). Scenario factors on C7:C10 scale forecast volume, price, unit cost, and discretionary OpEx. Volume in 000 cases; prices and CPU in $ per case; OpEx and P&amp;L in $000s.</t>
        </is>
      </c>
    </row>
  </sheetData>
  <dataValidations count="1">
    <dataValidation sqref="C6" showDropDown="0" showInputMessage="0" showErrorMessage="0" allowBlank="0" errorTitle="Scenario" error="Enter 1, 2, or 3" promptTitle="Scenario" prompt="1 Base / 2 Upside / 3 Downside" type="list">
      <formula1>1,2,3</formula1>
    </dataValidation>
  </dataValidations>
  <pageMargins left="0.75" right="0.75" top="1" bottom="1" header="0.5" footer="0.5"/>
  <pageSetup orientation="landscape" paperSize="3" fitToHeight="0" fitToWidth="1"/>
  <headerFooter>
    <oddHeader/>
    <oddFooter>&amp;LNorthline Consumer Products  |  fictional sample  |  $000s&amp;RPage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B2:O6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4" customWidth="1" min="16" max="16"/>
  </cols>
  <sheetData>
    <row r="2">
      <c r="B2" s="1" t="inlineStr">
        <is>
          <t>Revenue build — volume × net price</t>
        </is>
      </c>
    </row>
    <row r="3">
      <c r="B3" s="3" t="inlineStr">
        <is>
          <t>Plan uses plan volume × plan price. Forecast uses latest-view volume × volume factor × forecast price × price factor.</t>
        </is>
      </c>
    </row>
    <row r="4">
      <c r="B4" t="inlineStr">
        <is>
          <t>Scenario</t>
        </is>
      </c>
      <c r="C4" s="11">
        <f>'01_Assumptions'!D6</f>
        <v/>
      </c>
    </row>
    <row r="6">
      <c r="B6" s="8" t="inlineStr">
        <is>
          <t>PLAN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</row>
    <row r="7">
      <c r="C7" s="14" t="inlineStr">
        <is>
          <t>Jan-26</t>
        </is>
      </c>
      <c r="D7" s="14" t="inlineStr">
        <is>
          <t>Feb-26</t>
        </is>
      </c>
      <c r="E7" s="14" t="inlineStr">
        <is>
          <t>Mar-26</t>
        </is>
      </c>
      <c r="F7" s="14" t="inlineStr">
        <is>
          <t>Apr-26</t>
        </is>
      </c>
      <c r="G7" s="14" t="inlineStr">
        <is>
          <t>May-26</t>
        </is>
      </c>
      <c r="H7" s="14" t="inlineStr">
        <is>
          <t>Jun-26</t>
        </is>
      </c>
      <c r="I7" s="14" t="inlineStr">
        <is>
          <t>Jul-26</t>
        </is>
      </c>
      <c r="J7" s="14" t="inlineStr">
        <is>
          <t>Aug-26</t>
        </is>
      </c>
      <c r="K7" s="14" t="inlineStr">
        <is>
          <t>Sep-26</t>
        </is>
      </c>
      <c r="L7" s="14" t="inlineStr">
        <is>
          <t>Oct-26</t>
        </is>
      </c>
      <c r="M7" s="14" t="inlineStr">
        <is>
          <t>Nov-26</t>
        </is>
      </c>
      <c r="N7" s="14" t="inlineStr">
        <is>
          <t>Dec-26</t>
        </is>
      </c>
      <c r="O7" s="14" t="inlineStr">
        <is>
          <t>FY26</t>
        </is>
      </c>
    </row>
    <row r="8">
      <c r="B8" s="15" t="inlineStr">
        <is>
          <t>RTD Beverages volume</t>
        </is>
      </c>
      <c r="C8" s="27">
        <f>'01_Assumptions'!C57</f>
        <v/>
      </c>
      <c r="D8" s="27">
        <f>'01_Assumptions'!D57</f>
        <v/>
      </c>
      <c r="E8" s="27">
        <f>'01_Assumptions'!E57</f>
        <v/>
      </c>
      <c r="F8" s="27">
        <f>'01_Assumptions'!F57</f>
        <v/>
      </c>
      <c r="G8" s="27">
        <f>'01_Assumptions'!G57</f>
        <v/>
      </c>
      <c r="H8" s="27">
        <f>'01_Assumptions'!H57</f>
        <v/>
      </c>
      <c r="I8" s="27">
        <f>'01_Assumptions'!I57</f>
        <v/>
      </c>
      <c r="J8" s="27">
        <f>'01_Assumptions'!J57</f>
        <v/>
      </c>
      <c r="K8" s="27">
        <f>'01_Assumptions'!K57</f>
        <v/>
      </c>
      <c r="L8" s="27">
        <f>'01_Assumptions'!L57</f>
        <v/>
      </c>
      <c r="M8" s="27">
        <f>'01_Assumptions'!M57</f>
        <v/>
      </c>
      <c r="N8" s="27">
        <f>'01_Assumptions'!N57</f>
        <v/>
      </c>
      <c r="O8" s="25">
        <f>SUM(C8:N8)</f>
        <v/>
      </c>
    </row>
    <row r="9">
      <c r="B9" s="15" t="inlineStr">
        <is>
          <t>Salty Snacks volume</t>
        </is>
      </c>
      <c r="C9" s="27">
        <f>'01_Assumptions'!C58</f>
        <v/>
      </c>
      <c r="D9" s="27">
        <f>'01_Assumptions'!D58</f>
        <v/>
      </c>
      <c r="E9" s="27">
        <f>'01_Assumptions'!E58</f>
        <v/>
      </c>
      <c r="F9" s="27">
        <f>'01_Assumptions'!F58</f>
        <v/>
      </c>
      <c r="G9" s="27">
        <f>'01_Assumptions'!G58</f>
        <v/>
      </c>
      <c r="H9" s="27">
        <f>'01_Assumptions'!H58</f>
        <v/>
      </c>
      <c r="I9" s="27">
        <f>'01_Assumptions'!I58</f>
        <v/>
      </c>
      <c r="J9" s="27">
        <f>'01_Assumptions'!J58</f>
        <v/>
      </c>
      <c r="K9" s="27">
        <f>'01_Assumptions'!K58</f>
        <v/>
      </c>
      <c r="L9" s="27">
        <f>'01_Assumptions'!L58</f>
        <v/>
      </c>
      <c r="M9" s="27">
        <f>'01_Assumptions'!M58</f>
        <v/>
      </c>
      <c r="N9" s="27">
        <f>'01_Assumptions'!N58</f>
        <v/>
      </c>
      <c r="O9" s="25">
        <f>SUM(C9:N9)</f>
        <v/>
      </c>
    </row>
    <row r="10">
      <c r="B10" s="15" t="inlineStr">
        <is>
          <t>Household Care volume</t>
        </is>
      </c>
      <c r="C10" s="27">
        <f>'01_Assumptions'!C59</f>
        <v/>
      </c>
      <c r="D10" s="27">
        <f>'01_Assumptions'!D59</f>
        <v/>
      </c>
      <c r="E10" s="27">
        <f>'01_Assumptions'!E59</f>
        <v/>
      </c>
      <c r="F10" s="27">
        <f>'01_Assumptions'!F59</f>
        <v/>
      </c>
      <c r="G10" s="27">
        <f>'01_Assumptions'!G59</f>
        <v/>
      </c>
      <c r="H10" s="27">
        <f>'01_Assumptions'!H59</f>
        <v/>
      </c>
      <c r="I10" s="27">
        <f>'01_Assumptions'!I59</f>
        <v/>
      </c>
      <c r="J10" s="27">
        <f>'01_Assumptions'!J59</f>
        <v/>
      </c>
      <c r="K10" s="27">
        <f>'01_Assumptions'!K59</f>
        <v/>
      </c>
      <c r="L10" s="27">
        <f>'01_Assumptions'!L59</f>
        <v/>
      </c>
      <c r="M10" s="27">
        <f>'01_Assumptions'!M59</f>
        <v/>
      </c>
      <c r="N10" s="27">
        <f>'01_Assumptions'!N59</f>
        <v/>
      </c>
      <c r="O10" s="25">
        <f>SUM(C10:N10)</f>
        <v/>
      </c>
    </row>
    <row r="11">
      <c r="B11" s="15" t="inlineStr">
        <is>
          <t>Personal Care volume</t>
        </is>
      </c>
      <c r="C11" s="27">
        <f>'01_Assumptions'!C60</f>
        <v/>
      </c>
      <c r="D11" s="27">
        <f>'01_Assumptions'!D60</f>
        <v/>
      </c>
      <c r="E11" s="27">
        <f>'01_Assumptions'!E60</f>
        <v/>
      </c>
      <c r="F11" s="27">
        <f>'01_Assumptions'!F60</f>
        <v/>
      </c>
      <c r="G11" s="27">
        <f>'01_Assumptions'!G60</f>
        <v/>
      </c>
      <c r="H11" s="27">
        <f>'01_Assumptions'!H60</f>
        <v/>
      </c>
      <c r="I11" s="27">
        <f>'01_Assumptions'!I60</f>
        <v/>
      </c>
      <c r="J11" s="27">
        <f>'01_Assumptions'!J60</f>
        <v/>
      </c>
      <c r="K11" s="27">
        <f>'01_Assumptions'!K60</f>
        <v/>
      </c>
      <c r="L11" s="27">
        <f>'01_Assumptions'!L60</f>
        <v/>
      </c>
      <c r="M11" s="27">
        <f>'01_Assumptions'!M60</f>
        <v/>
      </c>
      <c r="N11" s="27">
        <f>'01_Assumptions'!N60</f>
        <v/>
      </c>
      <c r="O11" s="25">
        <f>SUM(C11:N11)</f>
        <v/>
      </c>
    </row>
    <row r="12">
      <c r="B12" s="18" t="inlineStr">
        <is>
          <t>Plan total volume</t>
        </is>
      </c>
      <c r="C12" s="25">
        <f>SUM(C8:C11)</f>
        <v/>
      </c>
      <c r="D12" s="25">
        <f>SUM(D8:D11)</f>
        <v/>
      </c>
      <c r="E12" s="25">
        <f>SUM(E8:E11)</f>
        <v/>
      </c>
      <c r="F12" s="25">
        <f>SUM(F8:F11)</f>
        <v/>
      </c>
      <c r="G12" s="25">
        <f>SUM(G8:G11)</f>
        <v/>
      </c>
      <c r="H12" s="25">
        <f>SUM(H8:H11)</f>
        <v/>
      </c>
      <c r="I12" s="25">
        <f>SUM(I8:I11)</f>
        <v/>
      </c>
      <c r="J12" s="25">
        <f>SUM(J8:J11)</f>
        <v/>
      </c>
      <c r="K12" s="25">
        <f>SUM(K8:K11)</f>
        <v/>
      </c>
      <c r="L12" s="25">
        <f>SUM(L8:L11)</f>
        <v/>
      </c>
      <c r="M12" s="25">
        <f>SUM(M8:M11)</f>
        <v/>
      </c>
      <c r="N12" s="25">
        <f>SUM(N8:N11)</f>
        <v/>
      </c>
      <c r="O12" s="25">
        <f>SUM(O8:O11)</f>
        <v/>
      </c>
    </row>
    <row r="14">
      <c r="B14" s="15" t="inlineStr">
        <is>
          <t>RTD Beverages net $/case</t>
        </is>
      </c>
      <c r="C14" s="20">
        <f>'01_Assumptions'!$C$26</f>
        <v/>
      </c>
      <c r="D14" s="20">
        <f>'01_Assumptions'!$C$26</f>
        <v/>
      </c>
      <c r="E14" s="20">
        <f>'01_Assumptions'!$C$26</f>
        <v/>
      </c>
      <c r="F14" s="20">
        <f>'01_Assumptions'!$C$26</f>
        <v/>
      </c>
      <c r="G14" s="20">
        <f>'01_Assumptions'!$C$26</f>
        <v/>
      </c>
      <c r="H14" s="20">
        <f>'01_Assumptions'!$C$26</f>
        <v/>
      </c>
      <c r="I14" s="20">
        <f>'01_Assumptions'!$C$26</f>
        <v/>
      </c>
      <c r="J14" s="20">
        <f>'01_Assumptions'!$C$26</f>
        <v/>
      </c>
      <c r="K14" s="20">
        <f>'01_Assumptions'!$C$26</f>
        <v/>
      </c>
      <c r="L14" s="20">
        <f>'01_Assumptions'!$C$26</f>
        <v/>
      </c>
      <c r="M14" s="20">
        <f>'01_Assumptions'!$C$26</f>
        <v/>
      </c>
      <c r="N14" s="20">
        <f>'01_Assumptions'!$C$26</f>
        <v/>
      </c>
      <c r="O14" s="20">
        <f>AVERAGE(C14:N14)</f>
        <v/>
      </c>
    </row>
    <row r="15">
      <c r="B15" s="15" t="inlineStr">
        <is>
          <t>Salty Snacks net $/case</t>
        </is>
      </c>
      <c r="C15" s="20">
        <f>'01_Assumptions'!$C$27</f>
        <v/>
      </c>
      <c r="D15" s="20">
        <f>'01_Assumptions'!$C$27</f>
        <v/>
      </c>
      <c r="E15" s="20">
        <f>'01_Assumptions'!$C$27</f>
        <v/>
      </c>
      <c r="F15" s="20">
        <f>'01_Assumptions'!$C$27</f>
        <v/>
      </c>
      <c r="G15" s="20">
        <f>'01_Assumptions'!$C$27</f>
        <v/>
      </c>
      <c r="H15" s="20">
        <f>'01_Assumptions'!$C$27</f>
        <v/>
      </c>
      <c r="I15" s="20">
        <f>'01_Assumptions'!$C$27</f>
        <v/>
      </c>
      <c r="J15" s="20">
        <f>'01_Assumptions'!$C$27</f>
        <v/>
      </c>
      <c r="K15" s="20">
        <f>'01_Assumptions'!$C$27</f>
        <v/>
      </c>
      <c r="L15" s="20">
        <f>'01_Assumptions'!$C$27</f>
        <v/>
      </c>
      <c r="M15" s="20">
        <f>'01_Assumptions'!$C$27</f>
        <v/>
      </c>
      <c r="N15" s="20">
        <f>'01_Assumptions'!$C$27</f>
        <v/>
      </c>
      <c r="O15" s="20">
        <f>AVERAGE(C15:N15)</f>
        <v/>
      </c>
    </row>
    <row r="16">
      <c r="B16" s="15" t="inlineStr">
        <is>
          <t>Household Care net $/case</t>
        </is>
      </c>
      <c r="C16" s="20">
        <f>'01_Assumptions'!$C$28</f>
        <v/>
      </c>
      <c r="D16" s="20">
        <f>'01_Assumptions'!$C$28</f>
        <v/>
      </c>
      <c r="E16" s="20">
        <f>'01_Assumptions'!$C$28</f>
        <v/>
      </c>
      <c r="F16" s="20">
        <f>'01_Assumptions'!$C$28</f>
        <v/>
      </c>
      <c r="G16" s="20">
        <f>'01_Assumptions'!$C$28</f>
        <v/>
      </c>
      <c r="H16" s="20">
        <f>'01_Assumptions'!$C$28</f>
        <v/>
      </c>
      <c r="I16" s="20">
        <f>'01_Assumptions'!$C$28</f>
        <v/>
      </c>
      <c r="J16" s="20">
        <f>'01_Assumptions'!$C$28</f>
        <v/>
      </c>
      <c r="K16" s="20">
        <f>'01_Assumptions'!$C$28</f>
        <v/>
      </c>
      <c r="L16" s="20">
        <f>'01_Assumptions'!$C$28</f>
        <v/>
      </c>
      <c r="M16" s="20">
        <f>'01_Assumptions'!$C$28</f>
        <v/>
      </c>
      <c r="N16" s="20">
        <f>'01_Assumptions'!$C$28</f>
        <v/>
      </c>
      <c r="O16" s="20">
        <f>AVERAGE(C16:N16)</f>
        <v/>
      </c>
    </row>
    <row r="17">
      <c r="B17" s="15" t="inlineStr">
        <is>
          <t>Personal Care net $/case</t>
        </is>
      </c>
      <c r="C17" s="20">
        <f>'01_Assumptions'!$C$29</f>
        <v/>
      </c>
      <c r="D17" s="20">
        <f>'01_Assumptions'!$C$29</f>
        <v/>
      </c>
      <c r="E17" s="20">
        <f>'01_Assumptions'!$C$29</f>
        <v/>
      </c>
      <c r="F17" s="20">
        <f>'01_Assumptions'!$C$29</f>
        <v/>
      </c>
      <c r="G17" s="20">
        <f>'01_Assumptions'!$C$29</f>
        <v/>
      </c>
      <c r="H17" s="20">
        <f>'01_Assumptions'!$C$29</f>
        <v/>
      </c>
      <c r="I17" s="20">
        <f>'01_Assumptions'!$C$29</f>
        <v/>
      </c>
      <c r="J17" s="20">
        <f>'01_Assumptions'!$C$29</f>
        <v/>
      </c>
      <c r="K17" s="20">
        <f>'01_Assumptions'!$C$29</f>
        <v/>
      </c>
      <c r="L17" s="20">
        <f>'01_Assumptions'!$C$29</f>
        <v/>
      </c>
      <c r="M17" s="20">
        <f>'01_Assumptions'!$C$29</f>
        <v/>
      </c>
      <c r="N17" s="20">
        <f>'01_Assumptions'!$C$29</f>
        <v/>
      </c>
      <c r="O17" s="20">
        <f>AVERAGE(C17:N17)</f>
        <v/>
      </c>
    </row>
    <row r="19">
      <c r="B19" s="18" t="inlineStr">
        <is>
          <t>RTD Beverages revenue</t>
        </is>
      </c>
      <c r="C19" s="28">
        <f>C8*C14</f>
        <v/>
      </c>
      <c r="D19" s="28">
        <f>D8*D14</f>
        <v/>
      </c>
      <c r="E19" s="28">
        <f>E8*E14</f>
        <v/>
      </c>
      <c r="F19" s="28">
        <f>F8*F14</f>
        <v/>
      </c>
      <c r="G19" s="28">
        <f>G8*G14</f>
        <v/>
      </c>
      <c r="H19" s="28">
        <f>H8*H14</f>
        <v/>
      </c>
      <c r="I19" s="28">
        <f>I8*I14</f>
        <v/>
      </c>
      <c r="J19" s="28">
        <f>J8*J14</f>
        <v/>
      </c>
      <c r="K19" s="28">
        <f>K8*K14</f>
        <v/>
      </c>
      <c r="L19" s="28">
        <f>L8*L14</f>
        <v/>
      </c>
      <c r="M19" s="28">
        <f>M8*M14</f>
        <v/>
      </c>
      <c r="N19" s="28">
        <f>N8*N14</f>
        <v/>
      </c>
      <c r="O19" s="23">
        <f>SUM(C19:N19)</f>
        <v/>
      </c>
    </row>
    <row r="20">
      <c r="B20" s="18" t="inlineStr">
        <is>
          <t>Salty Snacks revenue</t>
        </is>
      </c>
      <c r="C20" s="28">
        <f>C9*C15</f>
        <v/>
      </c>
      <c r="D20" s="28">
        <f>D9*D15</f>
        <v/>
      </c>
      <c r="E20" s="28">
        <f>E9*E15</f>
        <v/>
      </c>
      <c r="F20" s="28">
        <f>F9*F15</f>
        <v/>
      </c>
      <c r="G20" s="28">
        <f>G9*G15</f>
        <v/>
      </c>
      <c r="H20" s="28">
        <f>H9*H15</f>
        <v/>
      </c>
      <c r="I20" s="28">
        <f>I9*I15</f>
        <v/>
      </c>
      <c r="J20" s="28">
        <f>J9*J15</f>
        <v/>
      </c>
      <c r="K20" s="28">
        <f>K9*K15</f>
        <v/>
      </c>
      <c r="L20" s="28">
        <f>L9*L15</f>
        <v/>
      </c>
      <c r="M20" s="28">
        <f>M9*M15</f>
        <v/>
      </c>
      <c r="N20" s="28">
        <f>N9*N15</f>
        <v/>
      </c>
      <c r="O20" s="23">
        <f>SUM(C20:N20)</f>
        <v/>
      </c>
    </row>
    <row r="21">
      <c r="B21" s="18" t="inlineStr">
        <is>
          <t>Household Care revenue</t>
        </is>
      </c>
      <c r="C21" s="28">
        <f>C10*C16</f>
        <v/>
      </c>
      <c r="D21" s="28">
        <f>D10*D16</f>
        <v/>
      </c>
      <c r="E21" s="28">
        <f>E10*E16</f>
        <v/>
      </c>
      <c r="F21" s="28">
        <f>F10*F16</f>
        <v/>
      </c>
      <c r="G21" s="28">
        <f>G10*G16</f>
        <v/>
      </c>
      <c r="H21" s="28">
        <f>H10*H16</f>
        <v/>
      </c>
      <c r="I21" s="28">
        <f>I10*I16</f>
        <v/>
      </c>
      <c r="J21" s="28">
        <f>J10*J16</f>
        <v/>
      </c>
      <c r="K21" s="28">
        <f>K10*K16</f>
        <v/>
      </c>
      <c r="L21" s="28">
        <f>L10*L16</f>
        <v/>
      </c>
      <c r="M21" s="28">
        <f>M10*M16</f>
        <v/>
      </c>
      <c r="N21" s="28">
        <f>N10*N16</f>
        <v/>
      </c>
      <c r="O21" s="23">
        <f>SUM(C21:N21)</f>
        <v/>
      </c>
    </row>
    <row r="22">
      <c r="B22" s="18" t="inlineStr">
        <is>
          <t>Personal Care revenue</t>
        </is>
      </c>
      <c r="C22" s="28">
        <f>C11*C17</f>
        <v/>
      </c>
      <c r="D22" s="28">
        <f>D11*D17</f>
        <v/>
      </c>
      <c r="E22" s="28">
        <f>E11*E17</f>
        <v/>
      </c>
      <c r="F22" s="28">
        <f>F11*F17</f>
        <v/>
      </c>
      <c r="G22" s="28">
        <f>G11*G17</f>
        <v/>
      </c>
      <c r="H22" s="28">
        <f>H11*H17</f>
        <v/>
      </c>
      <c r="I22" s="28">
        <f>I11*I17</f>
        <v/>
      </c>
      <c r="J22" s="28">
        <f>J11*J17</f>
        <v/>
      </c>
      <c r="K22" s="28">
        <f>K11*K17</f>
        <v/>
      </c>
      <c r="L22" s="28">
        <f>L11*L17</f>
        <v/>
      </c>
      <c r="M22" s="28">
        <f>M11*M17</f>
        <v/>
      </c>
      <c r="N22" s="28">
        <f>N11*N17</f>
        <v/>
      </c>
      <c r="O22" s="23">
        <f>SUM(C22:N22)</f>
        <v/>
      </c>
    </row>
    <row r="23">
      <c r="B23" s="18" t="inlineStr">
        <is>
          <t>Plan net revenue</t>
        </is>
      </c>
      <c r="C23" s="23">
        <f>SUM(C19:C22)</f>
        <v/>
      </c>
      <c r="D23" s="23">
        <f>SUM(D19:D22)</f>
        <v/>
      </c>
      <c r="E23" s="23">
        <f>SUM(E19:E22)</f>
        <v/>
      </c>
      <c r="F23" s="23">
        <f>SUM(F19:F22)</f>
        <v/>
      </c>
      <c r="G23" s="23">
        <f>SUM(G19:G22)</f>
        <v/>
      </c>
      <c r="H23" s="23">
        <f>SUM(H19:H22)</f>
        <v/>
      </c>
      <c r="I23" s="23">
        <f>SUM(I19:I22)</f>
        <v/>
      </c>
      <c r="J23" s="23">
        <f>SUM(J19:J22)</f>
        <v/>
      </c>
      <c r="K23" s="23">
        <f>SUM(K19:K22)</f>
        <v/>
      </c>
      <c r="L23" s="23">
        <f>SUM(L19:L22)</f>
        <v/>
      </c>
      <c r="M23" s="23">
        <f>SUM(M19:M22)</f>
        <v/>
      </c>
      <c r="N23" s="23">
        <f>SUM(N19:N22)</f>
        <v/>
      </c>
      <c r="O23" s="23">
        <f>SUM(O19:O22)</f>
        <v/>
      </c>
    </row>
    <row r="24">
      <c r="B24" t="inlineStr">
        <is>
          <t>Plan ASP $/case</t>
        </is>
      </c>
      <c r="C24" s="20">
        <f>IF(C12=0,0,C23/C12)</f>
        <v/>
      </c>
      <c r="D24" s="20">
        <f>IF(D12=0,0,D23/D12)</f>
        <v/>
      </c>
      <c r="E24" s="20">
        <f>IF(E12=0,0,E23/E12)</f>
        <v/>
      </c>
      <c r="F24" s="20">
        <f>IF(F12=0,0,F23/F12)</f>
        <v/>
      </c>
      <c r="G24" s="20">
        <f>IF(G12=0,0,G23/G12)</f>
        <v/>
      </c>
      <c r="H24" s="20">
        <f>IF(H12=0,0,H23/H12)</f>
        <v/>
      </c>
      <c r="I24" s="20">
        <f>IF(I12=0,0,I23/I12)</f>
        <v/>
      </c>
      <c r="J24" s="20">
        <f>IF(J12=0,0,J23/J12)</f>
        <v/>
      </c>
      <c r="K24" s="20">
        <f>IF(K12=0,0,K23/K12)</f>
        <v/>
      </c>
      <c r="L24" s="20">
        <f>IF(L12=0,0,L23/L12)</f>
        <v/>
      </c>
      <c r="M24" s="20">
        <f>IF(M12=0,0,M23/M12)</f>
        <v/>
      </c>
      <c r="N24" s="20">
        <f>IF(N12=0,0,N23/N12)</f>
        <v/>
      </c>
      <c r="O24" s="20">
        <f>IF(O12=0,0,O23/O12)</f>
        <v/>
      </c>
    </row>
    <row r="25">
      <c r="B25" t="inlineStr">
        <is>
          <t>Plan mix % of volume</t>
        </is>
      </c>
    </row>
    <row r="26">
      <c r="B26" s="15" t="inlineStr">
        <is>
          <t>RTD Beverages</t>
        </is>
      </c>
      <c r="C26" s="29">
        <f>IF(C12=0,0,C8/C12)</f>
        <v/>
      </c>
      <c r="D26" s="29">
        <f>IF(D12=0,0,D8/D12)</f>
        <v/>
      </c>
      <c r="E26" s="29">
        <f>IF(E12=0,0,E8/E12)</f>
        <v/>
      </c>
      <c r="F26" s="29">
        <f>IF(F12=0,0,F8/F12)</f>
        <v/>
      </c>
      <c r="G26" s="29">
        <f>IF(G12=0,0,G8/G12)</f>
        <v/>
      </c>
      <c r="H26" s="29">
        <f>IF(H12=0,0,H8/H12)</f>
        <v/>
      </c>
      <c r="I26" s="29">
        <f>IF(I12=0,0,I8/I12)</f>
        <v/>
      </c>
      <c r="J26" s="29">
        <f>IF(J12=0,0,J8/J12)</f>
        <v/>
      </c>
      <c r="K26" s="29">
        <f>IF(K12=0,0,K8/K12)</f>
        <v/>
      </c>
      <c r="L26" s="29">
        <f>IF(L12=0,0,L8/L12)</f>
        <v/>
      </c>
      <c r="M26" s="29">
        <f>IF(M12=0,0,M8/M12)</f>
        <v/>
      </c>
      <c r="N26" s="29">
        <f>IF(N12=0,0,N8/N12)</f>
        <v/>
      </c>
      <c r="O26" s="29">
        <f>IF(O12=0,0,O8/O12)</f>
        <v/>
      </c>
    </row>
    <row r="27">
      <c r="B27" s="15" t="inlineStr">
        <is>
          <t>Salty Snacks</t>
        </is>
      </c>
      <c r="C27" s="29">
        <f>IF(C12=0,0,C9/C12)</f>
        <v/>
      </c>
      <c r="D27" s="29">
        <f>IF(D12=0,0,D9/D12)</f>
        <v/>
      </c>
      <c r="E27" s="29">
        <f>IF(E12=0,0,E9/E12)</f>
        <v/>
      </c>
      <c r="F27" s="29">
        <f>IF(F12=0,0,F9/F12)</f>
        <v/>
      </c>
      <c r="G27" s="29">
        <f>IF(G12=0,0,G9/G12)</f>
        <v/>
      </c>
      <c r="H27" s="29">
        <f>IF(H12=0,0,H9/H12)</f>
        <v/>
      </c>
      <c r="I27" s="29">
        <f>IF(I12=0,0,I9/I12)</f>
        <v/>
      </c>
      <c r="J27" s="29">
        <f>IF(J12=0,0,J9/J12)</f>
        <v/>
      </c>
      <c r="K27" s="29">
        <f>IF(K12=0,0,K9/K12)</f>
        <v/>
      </c>
      <c r="L27" s="29">
        <f>IF(L12=0,0,L9/L12)</f>
        <v/>
      </c>
      <c r="M27" s="29">
        <f>IF(M12=0,0,M9/M12)</f>
        <v/>
      </c>
      <c r="N27" s="29">
        <f>IF(N12=0,0,N9/N12)</f>
        <v/>
      </c>
      <c r="O27" s="29">
        <f>IF(O12=0,0,O9/O12)</f>
        <v/>
      </c>
    </row>
    <row r="28">
      <c r="B28" s="15" t="inlineStr">
        <is>
          <t>Household Care</t>
        </is>
      </c>
      <c r="C28" s="29">
        <f>IF(C12=0,0,C10/C12)</f>
        <v/>
      </c>
      <c r="D28" s="29">
        <f>IF(D12=0,0,D10/D12)</f>
        <v/>
      </c>
      <c r="E28" s="29">
        <f>IF(E12=0,0,E10/E12)</f>
        <v/>
      </c>
      <c r="F28" s="29">
        <f>IF(F12=0,0,F10/F12)</f>
        <v/>
      </c>
      <c r="G28" s="29">
        <f>IF(G12=0,0,G10/G12)</f>
        <v/>
      </c>
      <c r="H28" s="29">
        <f>IF(H12=0,0,H10/H12)</f>
        <v/>
      </c>
      <c r="I28" s="29">
        <f>IF(I12=0,0,I10/I12)</f>
        <v/>
      </c>
      <c r="J28" s="29">
        <f>IF(J12=0,0,J10/J12)</f>
        <v/>
      </c>
      <c r="K28" s="29">
        <f>IF(K12=0,0,K10/K12)</f>
        <v/>
      </c>
      <c r="L28" s="29">
        <f>IF(L12=0,0,L10/L12)</f>
        <v/>
      </c>
      <c r="M28" s="29">
        <f>IF(M12=0,0,M10/M12)</f>
        <v/>
      </c>
      <c r="N28" s="29">
        <f>IF(N12=0,0,N10/N12)</f>
        <v/>
      </c>
      <c r="O28" s="29">
        <f>IF(O12=0,0,O10/O12)</f>
        <v/>
      </c>
    </row>
    <row r="29">
      <c r="B29" s="15" t="inlineStr">
        <is>
          <t>Personal Care</t>
        </is>
      </c>
      <c r="C29" s="29">
        <f>IF(C12=0,0,C11/C12)</f>
        <v/>
      </c>
      <c r="D29" s="29">
        <f>IF(D12=0,0,D11/D12)</f>
        <v/>
      </c>
      <c r="E29" s="29">
        <f>IF(E12=0,0,E11/E12)</f>
        <v/>
      </c>
      <c r="F29" s="29">
        <f>IF(F12=0,0,F11/F12)</f>
        <v/>
      </c>
      <c r="G29" s="29">
        <f>IF(G12=0,0,G11/G12)</f>
        <v/>
      </c>
      <c r="H29" s="29">
        <f>IF(H12=0,0,H11/H12)</f>
        <v/>
      </c>
      <c r="I29" s="29">
        <f>IF(I12=0,0,I11/I12)</f>
        <v/>
      </c>
      <c r="J29" s="29">
        <f>IF(J12=0,0,J11/J12)</f>
        <v/>
      </c>
      <c r="K29" s="29">
        <f>IF(K12=0,0,K11/K12)</f>
        <v/>
      </c>
      <c r="L29" s="29">
        <f>IF(L12=0,0,L11/L12)</f>
        <v/>
      </c>
      <c r="M29" s="29">
        <f>IF(M12=0,0,M11/M12)</f>
        <v/>
      </c>
      <c r="N29" s="29">
        <f>IF(N12=0,0,N11/N12)</f>
        <v/>
      </c>
      <c r="O29" s="29">
        <f>IF(O12=0,0,O11/O12)</f>
        <v/>
      </c>
    </row>
    <row r="31">
      <c r="B31" s="8" t="inlineStr">
        <is>
          <t>FORECAST (scenario applied)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</row>
    <row r="32">
      <c r="C32" s="14" t="inlineStr">
        <is>
          <t>Jan-26</t>
        </is>
      </c>
      <c r="D32" s="14" t="inlineStr">
        <is>
          <t>Feb-26</t>
        </is>
      </c>
      <c r="E32" s="14" t="inlineStr">
        <is>
          <t>Mar-26</t>
        </is>
      </c>
      <c r="F32" s="14" t="inlineStr">
        <is>
          <t>Apr-26</t>
        </is>
      </c>
      <c r="G32" s="14" t="inlineStr">
        <is>
          <t>May-26</t>
        </is>
      </c>
      <c r="H32" s="14" t="inlineStr">
        <is>
          <t>Jun-26</t>
        </is>
      </c>
      <c r="I32" s="14" t="inlineStr">
        <is>
          <t>Jul-26</t>
        </is>
      </c>
      <c r="J32" s="14" t="inlineStr">
        <is>
          <t>Aug-26</t>
        </is>
      </c>
      <c r="K32" s="14" t="inlineStr">
        <is>
          <t>Sep-26</t>
        </is>
      </c>
      <c r="L32" s="14" t="inlineStr">
        <is>
          <t>Oct-26</t>
        </is>
      </c>
      <c r="M32" s="14" t="inlineStr">
        <is>
          <t>Nov-26</t>
        </is>
      </c>
      <c r="N32" s="14" t="inlineStr">
        <is>
          <t>Dec-26</t>
        </is>
      </c>
      <c r="O32" s="14" t="inlineStr">
        <is>
          <t>FY26</t>
        </is>
      </c>
    </row>
    <row r="33">
      <c r="B33" s="15" t="inlineStr">
        <is>
          <t>RTD Beverages volume</t>
        </is>
      </c>
      <c r="C33" s="30">
        <f>'01_Assumptions'!C65*'01_Assumptions'!$C$7</f>
        <v/>
      </c>
      <c r="D33" s="30">
        <f>'01_Assumptions'!D65*'01_Assumptions'!$C$7</f>
        <v/>
      </c>
      <c r="E33" s="30">
        <f>'01_Assumptions'!E65*'01_Assumptions'!$C$7</f>
        <v/>
      </c>
      <c r="F33" s="30">
        <f>'01_Assumptions'!F65*'01_Assumptions'!$C$7</f>
        <v/>
      </c>
      <c r="G33" s="30">
        <f>'01_Assumptions'!G65*'01_Assumptions'!$C$7</f>
        <v/>
      </c>
      <c r="H33" s="30">
        <f>'01_Assumptions'!H65*'01_Assumptions'!$C$7</f>
        <v/>
      </c>
      <c r="I33" s="30">
        <f>'01_Assumptions'!I65*'01_Assumptions'!$C$7</f>
        <v/>
      </c>
      <c r="J33" s="30">
        <f>'01_Assumptions'!J65*'01_Assumptions'!$C$7</f>
        <v/>
      </c>
      <c r="K33" s="30">
        <f>'01_Assumptions'!K65*'01_Assumptions'!$C$7</f>
        <v/>
      </c>
      <c r="L33" s="30">
        <f>'01_Assumptions'!L65*'01_Assumptions'!$C$7</f>
        <v/>
      </c>
      <c r="M33" s="30">
        <f>'01_Assumptions'!M65*'01_Assumptions'!$C$7</f>
        <v/>
      </c>
      <c r="N33" s="30">
        <f>'01_Assumptions'!N65*'01_Assumptions'!$C$7</f>
        <v/>
      </c>
      <c r="O33" s="31">
        <f>SUM(C33:N33)</f>
        <v/>
      </c>
    </row>
    <row r="34">
      <c r="B34" s="15" t="inlineStr">
        <is>
          <t>Salty Snacks volume</t>
        </is>
      </c>
      <c r="C34" s="30">
        <f>'01_Assumptions'!C66*'01_Assumptions'!$C$7</f>
        <v/>
      </c>
      <c r="D34" s="30">
        <f>'01_Assumptions'!D66*'01_Assumptions'!$C$7</f>
        <v/>
      </c>
      <c r="E34" s="30">
        <f>'01_Assumptions'!E66*'01_Assumptions'!$C$7</f>
        <v/>
      </c>
      <c r="F34" s="30">
        <f>'01_Assumptions'!F66*'01_Assumptions'!$C$7</f>
        <v/>
      </c>
      <c r="G34" s="30">
        <f>'01_Assumptions'!G66*'01_Assumptions'!$C$7</f>
        <v/>
      </c>
      <c r="H34" s="30">
        <f>'01_Assumptions'!H66*'01_Assumptions'!$C$7</f>
        <v/>
      </c>
      <c r="I34" s="30">
        <f>'01_Assumptions'!I66*'01_Assumptions'!$C$7</f>
        <v/>
      </c>
      <c r="J34" s="30">
        <f>'01_Assumptions'!J66*'01_Assumptions'!$C$7</f>
        <v/>
      </c>
      <c r="K34" s="30">
        <f>'01_Assumptions'!K66*'01_Assumptions'!$C$7</f>
        <v/>
      </c>
      <c r="L34" s="30">
        <f>'01_Assumptions'!L66*'01_Assumptions'!$C$7</f>
        <v/>
      </c>
      <c r="M34" s="30">
        <f>'01_Assumptions'!M66*'01_Assumptions'!$C$7</f>
        <v/>
      </c>
      <c r="N34" s="30">
        <f>'01_Assumptions'!N66*'01_Assumptions'!$C$7</f>
        <v/>
      </c>
      <c r="O34" s="31">
        <f>SUM(C34:N34)</f>
        <v/>
      </c>
    </row>
    <row r="35">
      <c r="B35" s="15" t="inlineStr">
        <is>
          <t>Household Care volume</t>
        </is>
      </c>
      <c r="C35" s="30">
        <f>'01_Assumptions'!C67*'01_Assumptions'!$C$7</f>
        <v/>
      </c>
      <c r="D35" s="30">
        <f>'01_Assumptions'!D67*'01_Assumptions'!$C$7</f>
        <v/>
      </c>
      <c r="E35" s="30">
        <f>'01_Assumptions'!E67*'01_Assumptions'!$C$7</f>
        <v/>
      </c>
      <c r="F35" s="30">
        <f>'01_Assumptions'!F67*'01_Assumptions'!$C$7</f>
        <v/>
      </c>
      <c r="G35" s="30">
        <f>'01_Assumptions'!G67*'01_Assumptions'!$C$7</f>
        <v/>
      </c>
      <c r="H35" s="30">
        <f>'01_Assumptions'!H67*'01_Assumptions'!$C$7</f>
        <v/>
      </c>
      <c r="I35" s="30">
        <f>'01_Assumptions'!I67*'01_Assumptions'!$C$7</f>
        <v/>
      </c>
      <c r="J35" s="30">
        <f>'01_Assumptions'!J67*'01_Assumptions'!$C$7</f>
        <v/>
      </c>
      <c r="K35" s="30">
        <f>'01_Assumptions'!K67*'01_Assumptions'!$C$7</f>
        <v/>
      </c>
      <c r="L35" s="30">
        <f>'01_Assumptions'!L67*'01_Assumptions'!$C$7</f>
        <v/>
      </c>
      <c r="M35" s="30">
        <f>'01_Assumptions'!M67*'01_Assumptions'!$C$7</f>
        <v/>
      </c>
      <c r="N35" s="30">
        <f>'01_Assumptions'!N67*'01_Assumptions'!$C$7</f>
        <v/>
      </c>
      <c r="O35" s="31">
        <f>SUM(C35:N35)</f>
        <v/>
      </c>
    </row>
    <row r="36">
      <c r="B36" s="15" t="inlineStr">
        <is>
          <t>Personal Care volume</t>
        </is>
      </c>
      <c r="C36" s="30">
        <f>'01_Assumptions'!C68*'01_Assumptions'!$C$7</f>
        <v/>
      </c>
      <c r="D36" s="30">
        <f>'01_Assumptions'!D68*'01_Assumptions'!$C$7</f>
        <v/>
      </c>
      <c r="E36" s="30">
        <f>'01_Assumptions'!E68*'01_Assumptions'!$C$7</f>
        <v/>
      </c>
      <c r="F36" s="30">
        <f>'01_Assumptions'!F68*'01_Assumptions'!$C$7</f>
        <v/>
      </c>
      <c r="G36" s="30">
        <f>'01_Assumptions'!G68*'01_Assumptions'!$C$7</f>
        <v/>
      </c>
      <c r="H36" s="30">
        <f>'01_Assumptions'!H68*'01_Assumptions'!$C$7</f>
        <v/>
      </c>
      <c r="I36" s="30">
        <f>'01_Assumptions'!I68*'01_Assumptions'!$C$7</f>
        <v/>
      </c>
      <c r="J36" s="30">
        <f>'01_Assumptions'!J68*'01_Assumptions'!$C$7</f>
        <v/>
      </c>
      <c r="K36" s="30">
        <f>'01_Assumptions'!K68*'01_Assumptions'!$C$7</f>
        <v/>
      </c>
      <c r="L36" s="30">
        <f>'01_Assumptions'!L68*'01_Assumptions'!$C$7</f>
        <v/>
      </c>
      <c r="M36" s="30">
        <f>'01_Assumptions'!M68*'01_Assumptions'!$C$7</f>
        <v/>
      </c>
      <c r="N36" s="30">
        <f>'01_Assumptions'!N68*'01_Assumptions'!$C$7</f>
        <v/>
      </c>
      <c r="O36" s="31">
        <f>SUM(C36:N36)</f>
        <v/>
      </c>
    </row>
    <row r="37">
      <c r="B37" s="18" t="inlineStr">
        <is>
          <t>Forecast total volume</t>
        </is>
      </c>
      <c r="C37" s="31">
        <f>SUM(C33:C36)</f>
        <v/>
      </c>
      <c r="D37" s="31">
        <f>SUM(D33:D36)</f>
        <v/>
      </c>
      <c r="E37" s="31">
        <f>SUM(E33:E36)</f>
        <v/>
      </c>
      <c r="F37" s="31">
        <f>SUM(F33:F36)</f>
        <v/>
      </c>
      <c r="G37" s="31">
        <f>SUM(G33:G36)</f>
        <v/>
      </c>
      <c r="H37" s="31">
        <f>SUM(H33:H36)</f>
        <v/>
      </c>
      <c r="I37" s="31">
        <f>SUM(I33:I36)</f>
        <v/>
      </c>
      <c r="J37" s="31">
        <f>SUM(J33:J36)</f>
        <v/>
      </c>
      <c r="K37" s="31">
        <f>SUM(K33:K36)</f>
        <v/>
      </c>
      <c r="L37" s="31">
        <f>SUM(L33:L36)</f>
        <v/>
      </c>
      <c r="M37" s="31">
        <f>SUM(M33:M36)</f>
        <v/>
      </c>
      <c r="N37" s="31">
        <f>SUM(N33:N36)</f>
        <v/>
      </c>
      <c r="O37" s="31">
        <f>SUM(O33:O36)</f>
        <v/>
      </c>
    </row>
    <row r="39">
      <c r="B39" s="15" t="inlineStr">
        <is>
          <t>RTD Beverages net $/case</t>
        </is>
      </c>
      <c r="C39" s="20">
        <f>'01_Assumptions'!$D$26*'01_Assumptions'!$C$8</f>
        <v/>
      </c>
      <c r="D39" s="20">
        <f>'01_Assumptions'!$D$26*'01_Assumptions'!$C$8</f>
        <v/>
      </c>
      <c r="E39" s="20">
        <f>'01_Assumptions'!$D$26*'01_Assumptions'!$C$8</f>
        <v/>
      </c>
      <c r="F39" s="20">
        <f>'01_Assumptions'!$D$26*'01_Assumptions'!$C$8</f>
        <v/>
      </c>
      <c r="G39" s="20">
        <f>'01_Assumptions'!$D$26*'01_Assumptions'!$C$8</f>
        <v/>
      </c>
      <c r="H39" s="20">
        <f>'01_Assumptions'!$D$26*'01_Assumptions'!$C$8</f>
        <v/>
      </c>
      <c r="I39" s="20">
        <f>'01_Assumptions'!$D$26*'01_Assumptions'!$C$8</f>
        <v/>
      </c>
      <c r="J39" s="20">
        <f>'01_Assumptions'!$D$26*'01_Assumptions'!$C$8</f>
        <v/>
      </c>
      <c r="K39" s="20">
        <f>'01_Assumptions'!$D$26*'01_Assumptions'!$C$8</f>
        <v/>
      </c>
      <c r="L39" s="20">
        <f>'01_Assumptions'!$D$26*'01_Assumptions'!$C$8</f>
        <v/>
      </c>
      <c r="M39" s="20">
        <f>'01_Assumptions'!$D$26*'01_Assumptions'!$C$8</f>
        <v/>
      </c>
      <c r="N39" s="20">
        <f>'01_Assumptions'!$D$26*'01_Assumptions'!$C$8</f>
        <v/>
      </c>
      <c r="O39" s="20">
        <f>AVERAGE(C39:N39)</f>
        <v/>
      </c>
    </row>
    <row r="40">
      <c r="B40" s="15" t="inlineStr">
        <is>
          <t>Salty Snacks net $/case</t>
        </is>
      </c>
      <c r="C40" s="20">
        <f>'01_Assumptions'!$D$27*'01_Assumptions'!$C$8</f>
        <v/>
      </c>
      <c r="D40" s="20">
        <f>'01_Assumptions'!$D$27*'01_Assumptions'!$C$8</f>
        <v/>
      </c>
      <c r="E40" s="20">
        <f>'01_Assumptions'!$D$27*'01_Assumptions'!$C$8</f>
        <v/>
      </c>
      <c r="F40" s="20">
        <f>'01_Assumptions'!$D$27*'01_Assumptions'!$C$8</f>
        <v/>
      </c>
      <c r="G40" s="20">
        <f>'01_Assumptions'!$D$27*'01_Assumptions'!$C$8</f>
        <v/>
      </c>
      <c r="H40" s="20">
        <f>'01_Assumptions'!$D$27*'01_Assumptions'!$C$8</f>
        <v/>
      </c>
      <c r="I40" s="20">
        <f>'01_Assumptions'!$D$27*'01_Assumptions'!$C$8</f>
        <v/>
      </c>
      <c r="J40" s="20">
        <f>'01_Assumptions'!$D$27*'01_Assumptions'!$C$8</f>
        <v/>
      </c>
      <c r="K40" s="20">
        <f>'01_Assumptions'!$D$27*'01_Assumptions'!$C$8</f>
        <v/>
      </c>
      <c r="L40" s="20">
        <f>'01_Assumptions'!$D$27*'01_Assumptions'!$C$8</f>
        <v/>
      </c>
      <c r="M40" s="20">
        <f>'01_Assumptions'!$D$27*'01_Assumptions'!$C$8</f>
        <v/>
      </c>
      <c r="N40" s="20">
        <f>'01_Assumptions'!$D$27*'01_Assumptions'!$C$8</f>
        <v/>
      </c>
      <c r="O40" s="20">
        <f>AVERAGE(C40:N40)</f>
        <v/>
      </c>
    </row>
    <row r="41">
      <c r="B41" s="15" t="inlineStr">
        <is>
          <t>Household Care net $/case</t>
        </is>
      </c>
      <c r="C41" s="20">
        <f>'01_Assumptions'!$D$28*'01_Assumptions'!$C$8</f>
        <v/>
      </c>
      <c r="D41" s="20">
        <f>'01_Assumptions'!$D$28*'01_Assumptions'!$C$8</f>
        <v/>
      </c>
      <c r="E41" s="20">
        <f>'01_Assumptions'!$D$28*'01_Assumptions'!$C$8</f>
        <v/>
      </c>
      <c r="F41" s="20">
        <f>'01_Assumptions'!$D$28*'01_Assumptions'!$C$8</f>
        <v/>
      </c>
      <c r="G41" s="20">
        <f>'01_Assumptions'!$D$28*'01_Assumptions'!$C$8</f>
        <v/>
      </c>
      <c r="H41" s="20">
        <f>'01_Assumptions'!$D$28*'01_Assumptions'!$C$8</f>
        <v/>
      </c>
      <c r="I41" s="20">
        <f>'01_Assumptions'!$D$28*'01_Assumptions'!$C$8</f>
        <v/>
      </c>
      <c r="J41" s="20">
        <f>'01_Assumptions'!$D$28*'01_Assumptions'!$C$8</f>
        <v/>
      </c>
      <c r="K41" s="20">
        <f>'01_Assumptions'!$D$28*'01_Assumptions'!$C$8</f>
        <v/>
      </c>
      <c r="L41" s="20">
        <f>'01_Assumptions'!$D$28*'01_Assumptions'!$C$8</f>
        <v/>
      </c>
      <c r="M41" s="20">
        <f>'01_Assumptions'!$D$28*'01_Assumptions'!$C$8</f>
        <v/>
      </c>
      <c r="N41" s="20">
        <f>'01_Assumptions'!$D$28*'01_Assumptions'!$C$8</f>
        <v/>
      </c>
      <c r="O41" s="20">
        <f>AVERAGE(C41:N41)</f>
        <v/>
      </c>
    </row>
    <row r="42">
      <c r="B42" s="15" t="inlineStr">
        <is>
          <t>Personal Care net $/case</t>
        </is>
      </c>
      <c r="C42" s="20">
        <f>'01_Assumptions'!$D$29*'01_Assumptions'!$C$8</f>
        <v/>
      </c>
      <c r="D42" s="20">
        <f>'01_Assumptions'!$D$29*'01_Assumptions'!$C$8</f>
        <v/>
      </c>
      <c r="E42" s="20">
        <f>'01_Assumptions'!$D$29*'01_Assumptions'!$C$8</f>
        <v/>
      </c>
      <c r="F42" s="20">
        <f>'01_Assumptions'!$D$29*'01_Assumptions'!$C$8</f>
        <v/>
      </c>
      <c r="G42" s="20">
        <f>'01_Assumptions'!$D$29*'01_Assumptions'!$C$8</f>
        <v/>
      </c>
      <c r="H42" s="20">
        <f>'01_Assumptions'!$D$29*'01_Assumptions'!$C$8</f>
        <v/>
      </c>
      <c r="I42" s="20">
        <f>'01_Assumptions'!$D$29*'01_Assumptions'!$C$8</f>
        <v/>
      </c>
      <c r="J42" s="20">
        <f>'01_Assumptions'!$D$29*'01_Assumptions'!$C$8</f>
        <v/>
      </c>
      <c r="K42" s="20">
        <f>'01_Assumptions'!$D$29*'01_Assumptions'!$C$8</f>
        <v/>
      </c>
      <c r="L42" s="20">
        <f>'01_Assumptions'!$D$29*'01_Assumptions'!$C$8</f>
        <v/>
      </c>
      <c r="M42" s="20">
        <f>'01_Assumptions'!$D$29*'01_Assumptions'!$C$8</f>
        <v/>
      </c>
      <c r="N42" s="20">
        <f>'01_Assumptions'!$D$29*'01_Assumptions'!$C$8</f>
        <v/>
      </c>
      <c r="O42" s="20">
        <f>AVERAGE(C42:N42)</f>
        <v/>
      </c>
    </row>
    <row r="44">
      <c r="B44" s="18" t="inlineStr">
        <is>
          <t>RTD Beverages revenue</t>
        </is>
      </c>
      <c r="C44" s="28">
        <f>C33*C39</f>
        <v/>
      </c>
      <c r="D44" s="28">
        <f>D33*D39</f>
        <v/>
      </c>
      <c r="E44" s="28">
        <f>E33*E39</f>
        <v/>
      </c>
      <c r="F44" s="28">
        <f>F33*F39</f>
        <v/>
      </c>
      <c r="G44" s="28">
        <f>G33*G39</f>
        <v/>
      </c>
      <c r="H44" s="28">
        <f>H33*H39</f>
        <v/>
      </c>
      <c r="I44" s="28">
        <f>I33*I39</f>
        <v/>
      </c>
      <c r="J44" s="28">
        <f>J33*J39</f>
        <v/>
      </c>
      <c r="K44" s="28">
        <f>K33*K39</f>
        <v/>
      </c>
      <c r="L44" s="28">
        <f>L33*L39</f>
        <v/>
      </c>
      <c r="M44" s="28">
        <f>M33*M39</f>
        <v/>
      </c>
      <c r="N44" s="28">
        <f>N33*N39</f>
        <v/>
      </c>
      <c r="O44" s="23">
        <f>SUM(C44:N44)</f>
        <v/>
      </c>
    </row>
    <row r="45">
      <c r="B45" s="18" t="inlineStr">
        <is>
          <t>Salty Snacks revenue</t>
        </is>
      </c>
      <c r="C45" s="28">
        <f>C34*C40</f>
        <v/>
      </c>
      <c r="D45" s="28">
        <f>D34*D40</f>
        <v/>
      </c>
      <c r="E45" s="28">
        <f>E34*E40</f>
        <v/>
      </c>
      <c r="F45" s="28">
        <f>F34*F40</f>
        <v/>
      </c>
      <c r="G45" s="28">
        <f>G34*G40</f>
        <v/>
      </c>
      <c r="H45" s="28">
        <f>H34*H40</f>
        <v/>
      </c>
      <c r="I45" s="28">
        <f>I34*I40</f>
        <v/>
      </c>
      <c r="J45" s="28">
        <f>J34*J40</f>
        <v/>
      </c>
      <c r="K45" s="28">
        <f>K34*K40</f>
        <v/>
      </c>
      <c r="L45" s="28">
        <f>L34*L40</f>
        <v/>
      </c>
      <c r="M45" s="28">
        <f>M34*M40</f>
        <v/>
      </c>
      <c r="N45" s="28">
        <f>N34*N40</f>
        <v/>
      </c>
      <c r="O45" s="23">
        <f>SUM(C45:N45)</f>
        <v/>
      </c>
    </row>
    <row r="46">
      <c r="B46" s="18" t="inlineStr">
        <is>
          <t>Household Care revenue</t>
        </is>
      </c>
      <c r="C46" s="28">
        <f>C35*C41</f>
        <v/>
      </c>
      <c r="D46" s="28">
        <f>D35*D41</f>
        <v/>
      </c>
      <c r="E46" s="28">
        <f>E35*E41</f>
        <v/>
      </c>
      <c r="F46" s="28">
        <f>F35*F41</f>
        <v/>
      </c>
      <c r="G46" s="28">
        <f>G35*G41</f>
        <v/>
      </c>
      <c r="H46" s="28">
        <f>H35*H41</f>
        <v/>
      </c>
      <c r="I46" s="28">
        <f>I35*I41</f>
        <v/>
      </c>
      <c r="J46" s="28">
        <f>J35*J41</f>
        <v/>
      </c>
      <c r="K46" s="28">
        <f>K35*K41</f>
        <v/>
      </c>
      <c r="L46" s="28">
        <f>L35*L41</f>
        <v/>
      </c>
      <c r="M46" s="28">
        <f>M35*M41</f>
        <v/>
      </c>
      <c r="N46" s="28">
        <f>N35*N41</f>
        <v/>
      </c>
      <c r="O46" s="23">
        <f>SUM(C46:N46)</f>
        <v/>
      </c>
    </row>
    <row r="47">
      <c r="B47" s="18" t="inlineStr">
        <is>
          <t>Personal Care revenue</t>
        </is>
      </c>
      <c r="C47" s="28">
        <f>C36*C42</f>
        <v/>
      </c>
      <c r="D47" s="28">
        <f>D36*D42</f>
        <v/>
      </c>
      <c r="E47" s="28">
        <f>E36*E42</f>
        <v/>
      </c>
      <c r="F47" s="28">
        <f>F36*F42</f>
        <v/>
      </c>
      <c r="G47" s="28">
        <f>G36*G42</f>
        <v/>
      </c>
      <c r="H47" s="28">
        <f>H36*H42</f>
        <v/>
      </c>
      <c r="I47" s="28">
        <f>I36*I42</f>
        <v/>
      </c>
      <c r="J47" s="28">
        <f>J36*J42</f>
        <v/>
      </c>
      <c r="K47" s="28">
        <f>K36*K42</f>
        <v/>
      </c>
      <c r="L47" s="28">
        <f>L36*L42</f>
        <v/>
      </c>
      <c r="M47" s="28">
        <f>M36*M42</f>
        <v/>
      </c>
      <c r="N47" s="28">
        <f>N36*N42</f>
        <v/>
      </c>
      <c r="O47" s="23">
        <f>SUM(C47:N47)</f>
        <v/>
      </c>
    </row>
    <row r="48">
      <c r="B48" s="18" t="inlineStr">
        <is>
          <t>Forecast net revenue</t>
        </is>
      </c>
      <c r="C48" s="23">
        <f>SUM(C44:C47)</f>
        <v/>
      </c>
      <c r="D48" s="23">
        <f>SUM(D44:D47)</f>
        <v/>
      </c>
      <c r="E48" s="23">
        <f>SUM(E44:E47)</f>
        <v/>
      </c>
      <c r="F48" s="23">
        <f>SUM(F44:F47)</f>
        <v/>
      </c>
      <c r="G48" s="23">
        <f>SUM(G44:G47)</f>
        <v/>
      </c>
      <c r="H48" s="23">
        <f>SUM(H44:H47)</f>
        <v/>
      </c>
      <c r="I48" s="23">
        <f>SUM(I44:I47)</f>
        <v/>
      </c>
      <c r="J48" s="23">
        <f>SUM(J44:J47)</f>
        <v/>
      </c>
      <c r="K48" s="23">
        <f>SUM(K44:K47)</f>
        <v/>
      </c>
      <c r="L48" s="23">
        <f>SUM(L44:L47)</f>
        <v/>
      </c>
      <c r="M48" s="23">
        <f>SUM(M44:M47)</f>
        <v/>
      </c>
      <c r="N48" s="23">
        <f>SUM(N44:N47)</f>
        <v/>
      </c>
      <c r="O48" s="23">
        <f>SUM(O44:O47)</f>
        <v/>
      </c>
    </row>
    <row r="49">
      <c r="B49" t="inlineStr">
        <is>
          <t>Forecast ASP $/case</t>
        </is>
      </c>
      <c r="C49" s="20">
        <f>IF(C37=0,0,C48/C37)</f>
        <v/>
      </c>
      <c r="D49" s="20">
        <f>IF(D37=0,0,D48/D37)</f>
        <v/>
      </c>
      <c r="E49" s="20">
        <f>IF(E37=0,0,E48/E37)</f>
        <v/>
      </c>
      <c r="F49" s="20">
        <f>IF(F37=0,0,F48/F37)</f>
        <v/>
      </c>
      <c r="G49" s="20">
        <f>IF(G37=0,0,G48/G37)</f>
        <v/>
      </c>
      <c r="H49" s="20">
        <f>IF(H37=0,0,H48/H37)</f>
        <v/>
      </c>
      <c r="I49" s="20">
        <f>IF(I37=0,0,I48/I37)</f>
        <v/>
      </c>
      <c r="J49" s="20">
        <f>IF(J37=0,0,J48/J37)</f>
        <v/>
      </c>
      <c r="K49" s="20">
        <f>IF(K37=0,0,K48/K37)</f>
        <v/>
      </c>
      <c r="L49" s="20">
        <f>IF(L37=0,0,L48/L37)</f>
        <v/>
      </c>
      <c r="M49" s="20">
        <f>IF(M37=0,0,M48/M37)</f>
        <v/>
      </c>
      <c r="N49" s="20">
        <f>IF(N37=0,0,N48/N37)</f>
        <v/>
      </c>
      <c r="O49" s="20">
        <f>IF(O37=0,0,O48/O37)</f>
        <v/>
      </c>
    </row>
    <row r="50">
      <c r="B50" t="inlineStr">
        <is>
          <t>Forecast mix % of volume</t>
        </is>
      </c>
    </row>
    <row r="51">
      <c r="B51" s="15" t="inlineStr">
        <is>
          <t>RTD Beverages</t>
        </is>
      </c>
      <c r="C51" s="29">
        <f>IF(C37=0,0,C33/C37)</f>
        <v/>
      </c>
      <c r="D51" s="29">
        <f>IF(D37=0,0,D33/D37)</f>
        <v/>
      </c>
      <c r="E51" s="29">
        <f>IF(E37=0,0,E33/E37)</f>
        <v/>
      </c>
      <c r="F51" s="29">
        <f>IF(F37=0,0,F33/F37)</f>
        <v/>
      </c>
      <c r="G51" s="29">
        <f>IF(G37=0,0,G33/G37)</f>
        <v/>
      </c>
      <c r="H51" s="29">
        <f>IF(H37=0,0,H33/H37)</f>
        <v/>
      </c>
      <c r="I51" s="29">
        <f>IF(I37=0,0,I33/I37)</f>
        <v/>
      </c>
      <c r="J51" s="29">
        <f>IF(J37=0,0,J33/J37)</f>
        <v/>
      </c>
      <c r="K51" s="29">
        <f>IF(K37=0,0,K33/K37)</f>
        <v/>
      </c>
      <c r="L51" s="29">
        <f>IF(L37=0,0,L33/L37)</f>
        <v/>
      </c>
      <c r="M51" s="29">
        <f>IF(M37=0,0,M33/M37)</f>
        <v/>
      </c>
      <c r="N51" s="29">
        <f>IF(N37=0,0,N33/N37)</f>
        <v/>
      </c>
      <c r="O51" s="29">
        <f>IF(O37=0,0,O33/O37)</f>
        <v/>
      </c>
    </row>
    <row r="52">
      <c r="B52" s="15" t="inlineStr">
        <is>
          <t>Salty Snacks</t>
        </is>
      </c>
      <c r="C52" s="29">
        <f>IF(C37=0,0,C34/C37)</f>
        <v/>
      </c>
      <c r="D52" s="29">
        <f>IF(D37=0,0,D34/D37)</f>
        <v/>
      </c>
      <c r="E52" s="29">
        <f>IF(E37=0,0,E34/E37)</f>
        <v/>
      </c>
      <c r="F52" s="29">
        <f>IF(F37=0,0,F34/F37)</f>
        <v/>
      </c>
      <c r="G52" s="29">
        <f>IF(G37=0,0,G34/G37)</f>
        <v/>
      </c>
      <c r="H52" s="29">
        <f>IF(H37=0,0,H34/H37)</f>
        <v/>
      </c>
      <c r="I52" s="29">
        <f>IF(I37=0,0,I34/I37)</f>
        <v/>
      </c>
      <c r="J52" s="29">
        <f>IF(J37=0,0,J34/J37)</f>
        <v/>
      </c>
      <c r="K52" s="29">
        <f>IF(K37=0,0,K34/K37)</f>
        <v/>
      </c>
      <c r="L52" s="29">
        <f>IF(L37=0,0,L34/L37)</f>
        <v/>
      </c>
      <c r="M52" s="29">
        <f>IF(M37=0,0,M34/M37)</f>
        <v/>
      </c>
      <c r="N52" s="29">
        <f>IF(N37=0,0,N34/N37)</f>
        <v/>
      </c>
      <c r="O52" s="29">
        <f>IF(O37=0,0,O34/O37)</f>
        <v/>
      </c>
    </row>
    <row r="53">
      <c r="B53" s="15" t="inlineStr">
        <is>
          <t>Household Care</t>
        </is>
      </c>
      <c r="C53" s="29">
        <f>IF(C37=0,0,C35/C37)</f>
        <v/>
      </c>
      <c r="D53" s="29">
        <f>IF(D37=0,0,D35/D37)</f>
        <v/>
      </c>
      <c r="E53" s="29">
        <f>IF(E37=0,0,E35/E37)</f>
        <v/>
      </c>
      <c r="F53" s="29">
        <f>IF(F37=0,0,F35/F37)</f>
        <v/>
      </c>
      <c r="G53" s="29">
        <f>IF(G37=0,0,G35/G37)</f>
        <v/>
      </c>
      <c r="H53" s="29">
        <f>IF(H37=0,0,H35/H37)</f>
        <v/>
      </c>
      <c r="I53" s="29">
        <f>IF(I37=0,0,I35/I37)</f>
        <v/>
      </c>
      <c r="J53" s="29">
        <f>IF(J37=0,0,J35/J37)</f>
        <v/>
      </c>
      <c r="K53" s="29">
        <f>IF(K37=0,0,K35/K37)</f>
        <v/>
      </c>
      <c r="L53" s="29">
        <f>IF(L37=0,0,L35/L37)</f>
        <v/>
      </c>
      <c r="M53" s="29">
        <f>IF(M37=0,0,M35/M37)</f>
        <v/>
      </c>
      <c r="N53" s="29">
        <f>IF(N37=0,0,N35/N37)</f>
        <v/>
      </c>
      <c r="O53" s="29">
        <f>IF(O37=0,0,O35/O37)</f>
        <v/>
      </c>
    </row>
    <row r="54">
      <c r="B54" s="15" t="inlineStr">
        <is>
          <t>Personal Care</t>
        </is>
      </c>
      <c r="C54" s="29">
        <f>IF(C37=0,0,C36/C37)</f>
        <v/>
      </c>
      <c r="D54" s="29">
        <f>IF(D37=0,0,D36/D37)</f>
        <v/>
      </c>
      <c r="E54" s="29">
        <f>IF(E37=0,0,E36/E37)</f>
        <v/>
      </c>
      <c r="F54" s="29">
        <f>IF(F37=0,0,F36/F37)</f>
        <v/>
      </c>
      <c r="G54" s="29">
        <f>IF(G37=0,0,G36/G37)</f>
        <v/>
      </c>
      <c r="H54" s="29">
        <f>IF(H37=0,0,H36/H37)</f>
        <v/>
      </c>
      <c r="I54" s="29">
        <f>IF(I37=0,0,I36/I37)</f>
        <v/>
      </c>
      <c r="J54" s="29">
        <f>IF(J37=0,0,J36/J37)</f>
        <v/>
      </c>
      <c r="K54" s="29">
        <f>IF(K37=0,0,K36/K37)</f>
        <v/>
      </c>
      <c r="L54" s="29">
        <f>IF(L37=0,0,L36/L37)</f>
        <v/>
      </c>
      <c r="M54" s="29">
        <f>IF(M37=0,0,M36/M37)</f>
        <v/>
      </c>
      <c r="N54" s="29">
        <f>IF(N37=0,0,N36/N37)</f>
        <v/>
      </c>
      <c r="O54" s="29">
        <f>IF(O37=0,0,O36/O37)</f>
        <v/>
      </c>
    </row>
    <row r="56">
      <c r="B56" s="8" t="inlineStr">
        <is>
          <t>VARIANCE (forecast − plan)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</row>
    <row r="57">
      <c r="C57" s="14" t="inlineStr">
        <is>
          <t>Jan-26</t>
        </is>
      </c>
      <c r="D57" s="14" t="inlineStr">
        <is>
          <t>Feb-26</t>
        </is>
      </c>
      <c r="E57" s="14" t="inlineStr">
        <is>
          <t>Mar-26</t>
        </is>
      </c>
      <c r="F57" s="14" t="inlineStr">
        <is>
          <t>Apr-26</t>
        </is>
      </c>
      <c r="G57" s="14" t="inlineStr">
        <is>
          <t>May-26</t>
        </is>
      </c>
      <c r="H57" s="14" t="inlineStr">
        <is>
          <t>Jun-26</t>
        </is>
      </c>
      <c r="I57" s="14" t="inlineStr">
        <is>
          <t>Jul-26</t>
        </is>
      </c>
      <c r="J57" s="14" t="inlineStr">
        <is>
          <t>Aug-26</t>
        </is>
      </c>
      <c r="K57" s="14" t="inlineStr">
        <is>
          <t>Sep-26</t>
        </is>
      </c>
      <c r="L57" s="14" t="inlineStr">
        <is>
          <t>Oct-26</t>
        </is>
      </c>
      <c r="M57" s="14" t="inlineStr">
        <is>
          <t>Nov-26</t>
        </is>
      </c>
      <c r="N57" s="14" t="inlineStr">
        <is>
          <t>Dec-26</t>
        </is>
      </c>
      <c r="O57" s="14" t="inlineStr">
        <is>
          <t>FY26</t>
        </is>
      </c>
    </row>
    <row r="58">
      <c r="B58" t="inlineStr">
        <is>
          <t>Volume var (000 cases)</t>
        </is>
      </c>
      <c r="C58" s="30">
        <f>C37-C12</f>
        <v/>
      </c>
      <c r="D58" s="30">
        <f>D37-D12</f>
        <v/>
      </c>
      <c r="E58" s="30">
        <f>E37-E12</f>
        <v/>
      </c>
      <c r="F58" s="30">
        <f>F37-F12</f>
        <v/>
      </c>
      <c r="G58" s="30">
        <f>G37-G12</f>
        <v/>
      </c>
      <c r="H58" s="30">
        <f>H37-H12</f>
        <v/>
      </c>
      <c r="I58" s="30">
        <f>I37-I12</f>
        <v/>
      </c>
      <c r="J58" s="30">
        <f>J37-J12</f>
        <v/>
      </c>
      <c r="K58" s="30">
        <f>K37-K12</f>
        <v/>
      </c>
      <c r="L58" s="30">
        <f>L37-L12</f>
        <v/>
      </c>
      <c r="M58" s="30">
        <f>M37-M12</f>
        <v/>
      </c>
      <c r="N58" s="30">
        <f>N37-N12</f>
        <v/>
      </c>
      <c r="O58" s="30">
        <f>O37-O12</f>
        <v/>
      </c>
    </row>
    <row r="59">
      <c r="B59" s="4" t="inlineStr">
        <is>
          <t>Revenue var ($000s)</t>
        </is>
      </c>
      <c r="C59" s="23">
        <f>C48-C23</f>
        <v/>
      </c>
      <c r="D59" s="23">
        <f>D48-D23</f>
        <v/>
      </c>
      <c r="E59" s="23">
        <f>E48-E23</f>
        <v/>
      </c>
      <c r="F59" s="23">
        <f>F48-F23</f>
        <v/>
      </c>
      <c r="G59" s="23">
        <f>G48-G23</f>
        <v/>
      </c>
      <c r="H59" s="23">
        <f>H48-H23</f>
        <v/>
      </c>
      <c r="I59" s="23">
        <f>I48-I23</f>
        <v/>
      </c>
      <c r="J59" s="23">
        <f>J48-J23</f>
        <v/>
      </c>
      <c r="K59" s="23">
        <f>K48-K23</f>
        <v/>
      </c>
      <c r="L59" s="23">
        <f>L48-L23</f>
        <v/>
      </c>
      <c r="M59" s="23">
        <f>M48-M23</f>
        <v/>
      </c>
      <c r="N59" s="23">
        <f>N48-N23</f>
        <v/>
      </c>
      <c r="O59" s="23">
        <f>O48-O23</f>
        <v/>
      </c>
    </row>
    <row r="60">
      <c r="B60" t="inlineStr">
        <is>
          <t>Revenue var %</t>
        </is>
      </c>
      <c r="C60" s="29">
        <f>IF(C23=0,0,C59/C23)</f>
        <v/>
      </c>
      <c r="D60" s="29">
        <f>IF(D23=0,0,D59/D23)</f>
        <v/>
      </c>
      <c r="E60" s="29">
        <f>IF(E23=0,0,E59/E23)</f>
        <v/>
      </c>
      <c r="F60" s="29">
        <f>IF(F23=0,0,F59/F23)</f>
        <v/>
      </c>
      <c r="G60" s="29">
        <f>IF(G23=0,0,G59/G23)</f>
        <v/>
      </c>
      <c r="H60" s="29">
        <f>IF(H23=0,0,H59/H23)</f>
        <v/>
      </c>
      <c r="I60" s="29">
        <f>IF(I23=0,0,I59/I23)</f>
        <v/>
      </c>
      <c r="J60" s="29">
        <f>IF(J23=0,0,J59/J23)</f>
        <v/>
      </c>
      <c r="K60" s="29">
        <f>IF(K23=0,0,K59/K23)</f>
        <v/>
      </c>
      <c r="L60" s="29">
        <f>IF(L23=0,0,L59/L23)</f>
        <v/>
      </c>
      <c r="M60" s="29">
        <f>IF(M23=0,0,M59/M23)</f>
        <v/>
      </c>
      <c r="N60" s="29">
        <f>IF(N23=0,0,N59/N23)</f>
        <v/>
      </c>
      <c r="O60" s="29">
        <f>IF(O23=0,0,O59/O23)</f>
        <v/>
      </c>
    </row>
    <row r="62">
      <c r="B62" s="12" t="inlineStr">
        <is>
          <t>Volume is 000 cases. Revenue is $000s (= 000 cases × $ per case). Mix % is share of total cases.</t>
        </is>
      </c>
    </row>
  </sheetData>
  <pageMargins left="0.75" right="0.75" top="1" bottom="1" header="0.5" footer="0.5"/>
  <pageSetup orientation="landscape" paperSize="3" fitToHeight="0" fitToWidth="1"/>
  <headerFooter>
    <oddHeader/>
    <oddFooter>&amp;LNorthline Consumer Products  |  fictional sample  |  $000s&amp;RPage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B2:O4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4" customWidth="1" min="16" max="16"/>
  </cols>
  <sheetData>
    <row r="2">
      <c r="B2" s="1" t="inlineStr">
        <is>
          <t>COGS build — volume × cost per unit</t>
        </is>
      </c>
    </row>
    <row r="3">
      <c r="B3" s="3" t="inlineStr">
        <is>
          <t>Plan CPU = material + labor + overhead. Forecast CPU = plan CPU × (1 + inflation) × unit-cost factor.</t>
        </is>
      </c>
    </row>
    <row r="4">
      <c r="B4" t="inlineStr">
        <is>
          <t>Scenario</t>
        </is>
      </c>
      <c r="C4" s="11">
        <f>'01_Assumptions'!D6</f>
        <v/>
      </c>
    </row>
    <row r="6">
      <c r="B6" s="8" t="inlineStr">
        <is>
          <t>PLAN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</row>
    <row r="7">
      <c r="C7" s="14" t="inlineStr">
        <is>
          <t>Jan-26</t>
        </is>
      </c>
      <c r="D7" s="14" t="inlineStr">
        <is>
          <t>Feb-26</t>
        </is>
      </c>
      <c r="E7" s="14" t="inlineStr">
        <is>
          <t>Mar-26</t>
        </is>
      </c>
      <c r="F7" s="14" t="inlineStr">
        <is>
          <t>Apr-26</t>
        </is>
      </c>
      <c r="G7" s="14" t="inlineStr">
        <is>
          <t>May-26</t>
        </is>
      </c>
      <c r="H7" s="14" t="inlineStr">
        <is>
          <t>Jun-26</t>
        </is>
      </c>
      <c r="I7" s="14" t="inlineStr">
        <is>
          <t>Jul-26</t>
        </is>
      </c>
      <c r="J7" s="14" t="inlineStr">
        <is>
          <t>Aug-26</t>
        </is>
      </c>
      <c r="K7" s="14" t="inlineStr">
        <is>
          <t>Sep-26</t>
        </is>
      </c>
      <c r="L7" s="14" t="inlineStr">
        <is>
          <t>Oct-26</t>
        </is>
      </c>
      <c r="M7" s="14" t="inlineStr">
        <is>
          <t>Nov-26</t>
        </is>
      </c>
      <c r="N7" s="14" t="inlineStr">
        <is>
          <t>Dec-26</t>
        </is>
      </c>
      <c r="O7" s="14" t="inlineStr">
        <is>
          <t>FY26</t>
        </is>
      </c>
    </row>
    <row r="8">
      <c r="B8" s="15" t="inlineStr">
        <is>
          <t>RTD Beverages CPU</t>
        </is>
      </c>
      <c r="C8" s="20">
        <f>'01_Assumptions'!$H$26</f>
        <v/>
      </c>
      <c r="D8" s="20">
        <f>'01_Assumptions'!$H$26</f>
        <v/>
      </c>
      <c r="E8" s="20">
        <f>'01_Assumptions'!$H$26</f>
        <v/>
      </c>
      <c r="F8" s="20">
        <f>'01_Assumptions'!$H$26</f>
        <v/>
      </c>
      <c r="G8" s="20">
        <f>'01_Assumptions'!$H$26</f>
        <v/>
      </c>
      <c r="H8" s="20">
        <f>'01_Assumptions'!$H$26</f>
        <v/>
      </c>
      <c r="I8" s="20">
        <f>'01_Assumptions'!$H$26</f>
        <v/>
      </c>
      <c r="J8" s="20">
        <f>'01_Assumptions'!$H$26</f>
        <v/>
      </c>
      <c r="K8" s="20">
        <f>'01_Assumptions'!$H$26</f>
        <v/>
      </c>
      <c r="L8" s="20">
        <f>'01_Assumptions'!$H$26</f>
        <v/>
      </c>
      <c r="M8" s="20">
        <f>'01_Assumptions'!$H$26</f>
        <v/>
      </c>
      <c r="N8" s="20">
        <f>'01_Assumptions'!$H$26</f>
        <v/>
      </c>
      <c r="O8" s="20">
        <f>AVERAGE(C8:N8)</f>
        <v/>
      </c>
    </row>
    <row r="9">
      <c r="B9" s="15" t="inlineStr">
        <is>
          <t>Salty Snacks CPU</t>
        </is>
      </c>
      <c r="C9" s="20">
        <f>'01_Assumptions'!$H$27</f>
        <v/>
      </c>
      <c r="D9" s="20">
        <f>'01_Assumptions'!$H$27</f>
        <v/>
      </c>
      <c r="E9" s="20">
        <f>'01_Assumptions'!$H$27</f>
        <v/>
      </c>
      <c r="F9" s="20">
        <f>'01_Assumptions'!$H$27</f>
        <v/>
      </c>
      <c r="G9" s="20">
        <f>'01_Assumptions'!$H$27</f>
        <v/>
      </c>
      <c r="H9" s="20">
        <f>'01_Assumptions'!$H$27</f>
        <v/>
      </c>
      <c r="I9" s="20">
        <f>'01_Assumptions'!$H$27</f>
        <v/>
      </c>
      <c r="J9" s="20">
        <f>'01_Assumptions'!$H$27</f>
        <v/>
      </c>
      <c r="K9" s="20">
        <f>'01_Assumptions'!$H$27</f>
        <v/>
      </c>
      <c r="L9" s="20">
        <f>'01_Assumptions'!$H$27</f>
        <v/>
      </c>
      <c r="M9" s="20">
        <f>'01_Assumptions'!$H$27</f>
        <v/>
      </c>
      <c r="N9" s="20">
        <f>'01_Assumptions'!$H$27</f>
        <v/>
      </c>
      <c r="O9" s="20">
        <f>AVERAGE(C9:N9)</f>
        <v/>
      </c>
    </row>
    <row r="10">
      <c r="B10" s="15" t="inlineStr">
        <is>
          <t>Household Care CPU</t>
        </is>
      </c>
      <c r="C10" s="20">
        <f>'01_Assumptions'!$H$28</f>
        <v/>
      </c>
      <c r="D10" s="20">
        <f>'01_Assumptions'!$H$28</f>
        <v/>
      </c>
      <c r="E10" s="20">
        <f>'01_Assumptions'!$H$28</f>
        <v/>
      </c>
      <c r="F10" s="20">
        <f>'01_Assumptions'!$H$28</f>
        <v/>
      </c>
      <c r="G10" s="20">
        <f>'01_Assumptions'!$H$28</f>
        <v/>
      </c>
      <c r="H10" s="20">
        <f>'01_Assumptions'!$H$28</f>
        <v/>
      </c>
      <c r="I10" s="20">
        <f>'01_Assumptions'!$H$28</f>
        <v/>
      </c>
      <c r="J10" s="20">
        <f>'01_Assumptions'!$H$28</f>
        <v/>
      </c>
      <c r="K10" s="20">
        <f>'01_Assumptions'!$H$28</f>
        <v/>
      </c>
      <c r="L10" s="20">
        <f>'01_Assumptions'!$H$28</f>
        <v/>
      </c>
      <c r="M10" s="20">
        <f>'01_Assumptions'!$H$28</f>
        <v/>
      </c>
      <c r="N10" s="20">
        <f>'01_Assumptions'!$H$28</f>
        <v/>
      </c>
      <c r="O10" s="20">
        <f>AVERAGE(C10:N10)</f>
        <v/>
      </c>
    </row>
    <row r="11">
      <c r="B11" s="15" t="inlineStr">
        <is>
          <t>Personal Care CPU</t>
        </is>
      </c>
      <c r="C11" s="20">
        <f>'01_Assumptions'!$H$29</f>
        <v/>
      </c>
      <c r="D11" s="20">
        <f>'01_Assumptions'!$H$29</f>
        <v/>
      </c>
      <c r="E11" s="20">
        <f>'01_Assumptions'!$H$29</f>
        <v/>
      </c>
      <c r="F11" s="20">
        <f>'01_Assumptions'!$H$29</f>
        <v/>
      </c>
      <c r="G11" s="20">
        <f>'01_Assumptions'!$H$29</f>
        <v/>
      </c>
      <c r="H11" s="20">
        <f>'01_Assumptions'!$H$29</f>
        <v/>
      </c>
      <c r="I11" s="20">
        <f>'01_Assumptions'!$H$29</f>
        <v/>
      </c>
      <c r="J11" s="20">
        <f>'01_Assumptions'!$H$29</f>
        <v/>
      </c>
      <c r="K11" s="20">
        <f>'01_Assumptions'!$H$29</f>
        <v/>
      </c>
      <c r="L11" s="20">
        <f>'01_Assumptions'!$H$29</f>
        <v/>
      </c>
      <c r="M11" s="20">
        <f>'01_Assumptions'!$H$29</f>
        <v/>
      </c>
      <c r="N11" s="20">
        <f>'01_Assumptions'!$H$29</f>
        <v/>
      </c>
      <c r="O11" s="20">
        <f>AVERAGE(C11:N11)</f>
        <v/>
      </c>
    </row>
    <row r="13">
      <c r="B13" s="18" t="inlineStr">
        <is>
          <t>RTD Beverages COGS</t>
        </is>
      </c>
      <c r="C13" s="28">
        <f>'02_Revenue_Build'!C8*C8</f>
        <v/>
      </c>
      <c r="D13" s="28">
        <f>'02_Revenue_Build'!D8*D8</f>
        <v/>
      </c>
      <c r="E13" s="28">
        <f>'02_Revenue_Build'!E8*E8</f>
        <v/>
      </c>
      <c r="F13" s="28">
        <f>'02_Revenue_Build'!F8*F8</f>
        <v/>
      </c>
      <c r="G13" s="28">
        <f>'02_Revenue_Build'!G8*G8</f>
        <v/>
      </c>
      <c r="H13" s="28">
        <f>'02_Revenue_Build'!H8*H8</f>
        <v/>
      </c>
      <c r="I13" s="28">
        <f>'02_Revenue_Build'!I8*I8</f>
        <v/>
      </c>
      <c r="J13" s="28">
        <f>'02_Revenue_Build'!J8*J8</f>
        <v/>
      </c>
      <c r="K13" s="28">
        <f>'02_Revenue_Build'!K8*K8</f>
        <v/>
      </c>
      <c r="L13" s="28">
        <f>'02_Revenue_Build'!L8*L8</f>
        <v/>
      </c>
      <c r="M13" s="28">
        <f>'02_Revenue_Build'!M8*M8</f>
        <v/>
      </c>
      <c r="N13" s="28">
        <f>'02_Revenue_Build'!N8*N8</f>
        <v/>
      </c>
      <c r="O13" s="23">
        <f>SUM(C13:N13)</f>
        <v/>
      </c>
    </row>
    <row r="14">
      <c r="B14" s="18" t="inlineStr">
        <is>
          <t>Salty Snacks COGS</t>
        </is>
      </c>
      <c r="C14" s="28">
        <f>'02_Revenue_Build'!C9*C9</f>
        <v/>
      </c>
      <c r="D14" s="28">
        <f>'02_Revenue_Build'!D9*D9</f>
        <v/>
      </c>
      <c r="E14" s="28">
        <f>'02_Revenue_Build'!E9*E9</f>
        <v/>
      </c>
      <c r="F14" s="28">
        <f>'02_Revenue_Build'!F9*F9</f>
        <v/>
      </c>
      <c r="G14" s="28">
        <f>'02_Revenue_Build'!G9*G9</f>
        <v/>
      </c>
      <c r="H14" s="28">
        <f>'02_Revenue_Build'!H9*H9</f>
        <v/>
      </c>
      <c r="I14" s="28">
        <f>'02_Revenue_Build'!I9*I9</f>
        <v/>
      </c>
      <c r="J14" s="28">
        <f>'02_Revenue_Build'!J9*J9</f>
        <v/>
      </c>
      <c r="K14" s="28">
        <f>'02_Revenue_Build'!K9*K9</f>
        <v/>
      </c>
      <c r="L14" s="28">
        <f>'02_Revenue_Build'!L9*L9</f>
        <v/>
      </c>
      <c r="M14" s="28">
        <f>'02_Revenue_Build'!M9*M9</f>
        <v/>
      </c>
      <c r="N14" s="28">
        <f>'02_Revenue_Build'!N9*N9</f>
        <v/>
      </c>
      <c r="O14" s="23">
        <f>SUM(C14:N14)</f>
        <v/>
      </c>
    </row>
    <row r="15">
      <c r="B15" s="18" t="inlineStr">
        <is>
          <t>Household Care COGS</t>
        </is>
      </c>
      <c r="C15" s="28">
        <f>'02_Revenue_Build'!C10*C10</f>
        <v/>
      </c>
      <c r="D15" s="28">
        <f>'02_Revenue_Build'!D10*D10</f>
        <v/>
      </c>
      <c r="E15" s="28">
        <f>'02_Revenue_Build'!E10*E10</f>
        <v/>
      </c>
      <c r="F15" s="28">
        <f>'02_Revenue_Build'!F10*F10</f>
        <v/>
      </c>
      <c r="G15" s="28">
        <f>'02_Revenue_Build'!G10*G10</f>
        <v/>
      </c>
      <c r="H15" s="28">
        <f>'02_Revenue_Build'!H10*H10</f>
        <v/>
      </c>
      <c r="I15" s="28">
        <f>'02_Revenue_Build'!I10*I10</f>
        <v/>
      </c>
      <c r="J15" s="28">
        <f>'02_Revenue_Build'!J10*J10</f>
        <v/>
      </c>
      <c r="K15" s="28">
        <f>'02_Revenue_Build'!K10*K10</f>
        <v/>
      </c>
      <c r="L15" s="28">
        <f>'02_Revenue_Build'!L10*L10</f>
        <v/>
      </c>
      <c r="M15" s="28">
        <f>'02_Revenue_Build'!M10*M10</f>
        <v/>
      </c>
      <c r="N15" s="28">
        <f>'02_Revenue_Build'!N10*N10</f>
        <v/>
      </c>
      <c r="O15" s="23">
        <f>SUM(C15:N15)</f>
        <v/>
      </c>
    </row>
    <row r="16">
      <c r="B16" s="18" t="inlineStr">
        <is>
          <t>Personal Care COGS</t>
        </is>
      </c>
      <c r="C16" s="28">
        <f>'02_Revenue_Build'!C11*C11</f>
        <v/>
      </c>
      <c r="D16" s="28">
        <f>'02_Revenue_Build'!D11*D11</f>
        <v/>
      </c>
      <c r="E16" s="28">
        <f>'02_Revenue_Build'!E11*E11</f>
        <v/>
      </c>
      <c r="F16" s="28">
        <f>'02_Revenue_Build'!F11*F11</f>
        <v/>
      </c>
      <c r="G16" s="28">
        <f>'02_Revenue_Build'!G11*G11</f>
        <v/>
      </c>
      <c r="H16" s="28">
        <f>'02_Revenue_Build'!H11*H11</f>
        <v/>
      </c>
      <c r="I16" s="28">
        <f>'02_Revenue_Build'!I11*I11</f>
        <v/>
      </c>
      <c r="J16" s="28">
        <f>'02_Revenue_Build'!J11*J11</f>
        <v/>
      </c>
      <c r="K16" s="28">
        <f>'02_Revenue_Build'!K11*K11</f>
        <v/>
      </c>
      <c r="L16" s="28">
        <f>'02_Revenue_Build'!L11*L11</f>
        <v/>
      </c>
      <c r="M16" s="28">
        <f>'02_Revenue_Build'!M11*M11</f>
        <v/>
      </c>
      <c r="N16" s="28">
        <f>'02_Revenue_Build'!N11*N11</f>
        <v/>
      </c>
      <c r="O16" s="23">
        <f>SUM(C16:N16)</f>
        <v/>
      </c>
    </row>
    <row r="17">
      <c r="B17" s="18" t="inlineStr">
        <is>
          <t>Plan COGS</t>
        </is>
      </c>
      <c r="C17" s="23">
        <f>SUM(C13:C16)</f>
        <v/>
      </c>
      <c r="D17" s="23">
        <f>SUM(D13:D16)</f>
        <v/>
      </c>
      <c r="E17" s="23">
        <f>SUM(E13:E16)</f>
        <v/>
      </c>
      <c r="F17" s="23">
        <f>SUM(F13:F16)</f>
        <v/>
      </c>
      <c r="G17" s="23">
        <f>SUM(G13:G16)</f>
        <v/>
      </c>
      <c r="H17" s="23">
        <f>SUM(H13:H16)</f>
        <v/>
      </c>
      <c r="I17" s="23">
        <f>SUM(I13:I16)</f>
        <v/>
      </c>
      <c r="J17" s="23">
        <f>SUM(J13:J16)</f>
        <v/>
      </c>
      <c r="K17" s="23">
        <f>SUM(K13:K16)</f>
        <v/>
      </c>
      <c r="L17" s="23">
        <f>SUM(L13:L16)</f>
        <v/>
      </c>
      <c r="M17" s="23">
        <f>SUM(M13:M16)</f>
        <v/>
      </c>
      <c r="N17" s="23">
        <f>SUM(N13:N16)</f>
        <v/>
      </c>
      <c r="O17" s="23">
        <f>SUM(O13:O16)</f>
        <v/>
      </c>
    </row>
    <row r="18">
      <c r="B18" t="inlineStr">
        <is>
          <t>Plan gross profit</t>
        </is>
      </c>
      <c r="C18" s="23">
        <f>'02_Revenue_Build'!C23-C17</f>
        <v/>
      </c>
      <c r="D18" s="23">
        <f>'02_Revenue_Build'!D23-D17</f>
        <v/>
      </c>
      <c r="E18" s="23">
        <f>'02_Revenue_Build'!E23-E17</f>
        <v/>
      </c>
      <c r="F18" s="23">
        <f>'02_Revenue_Build'!F23-F17</f>
        <v/>
      </c>
      <c r="G18" s="23">
        <f>'02_Revenue_Build'!G23-G17</f>
        <v/>
      </c>
      <c r="H18" s="23">
        <f>'02_Revenue_Build'!H23-H17</f>
        <v/>
      </c>
      <c r="I18" s="23">
        <f>'02_Revenue_Build'!I23-I17</f>
        <v/>
      </c>
      <c r="J18" s="23">
        <f>'02_Revenue_Build'!J23-J17</f>
        <v/>
      </c>
      <c r="K18" s="23">
        <f>'02_Revenue_Build'!K23-K17</f>
        <v/>
      </c>
      <c r="L18" s="23">
        <f>'02_Revenue_Build'!L23-L17</f>
        <v/>
      </c>
      <c r="M18" s="23">
        <f>'02_Revenue_Build'!M23-M17</f>
        <v/>
      </c>
      <c r="N18" s="23">
        <f>'02_Revenue_Build'!N23-N17</f>
        <v/>
      </c>
      <c r="O18" s="23">
        <f>'02_Revenue_Build'!O23-O17</f>
        <v/>
      </c>
    </row>
    <row r="19">
      <c r="B19" t="inlineStr">
        <is>
          <t>Plan gross margin %</t>
        </is>
      </c>
      <c r="C19" s="29">
        <f>IF('02_Revenue_Build'!C23=0,0,C18/'02_Revenue_Build'!C23)</f>
        <v/>
      </c>
      <c r="D19" s="29">
        <f>IF('02_Revenue_Build'!D23=0,0,D18/'02_Revenue_Build'!D23)</f>
        <v/>
      </c>
      <c r="E19" s="29">
        <f>IF('02_Revenue_Build'!E23=0,0,E18/'02_Revenue_Build'!E23)</f>
        <v/>
      </c>
      <c r="F19" s="29">
        <f>IF('02_Revenue_Build'!F23=0,0,F18/'02_Revenue_Build'!F23)</f>
        <v/>
      </c>
      <c r="G19" s="29">
        <f>IF('02_Revenue_Build'!G23=0,0,G18/'02_Revenue_Build'!G23)</f>
        <v/>
      </c>
      <c r="H19" s="29">
        <f>IF('02_Revenue_Build'!H23=0,0,H18/'02_Revenue_Build'!H23)</f>
        <v/>
      </c>
      <c r="I19" s="29">
        <f>IF('02_Revenue_Build'!I23=0,0,I18/'02_Revenue_Build'!I23)</f>
        <v/>
      </c>
      <c r="J19" s="29">
        <f>IF('02_Revenue_Build'!J23=0,0,J18/'02_Revenue_Build'!J23)</f>
        <v/>
      </c>
      <c r="K19" s="29">
        <f>IF('02_Revenue_Build'!K23=0,0,K18/'02_Revenue_Build'!K23)</f>
        <v/>
      </c>
      <c r="L19" s="29">
        <f>IF('02_Revenue_Build'!L23=0,0,L18/'02_Revenue_Build'!L23)</f>
        <v/>
      </c>
      <c r="M19" s="29">
        <f>IF('02_Revenue_Build'!M23=0,0,M18/'02_Revenue_Build'!M23)</f>
        <v/>
      </c>
      <c r="N19" s="29">
        <f>IF('02_Revenue_Build'!N23=0,0,N18/'02_Revenue_Build'!N23)</f>
        <v/>
      </c>
      <c r="O19" s="29">
        <f>IF('02_Revenue_Build'!O23=0,0,O18/'02_Revenue_Build'!O23)</f>
        <v/>
      </c>
    </row>
    <row r="21">
      <c r="B21" s="8" t="inlineStr">
        <is>
          <t>FORECAST (scenario applied)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</row>
    <row r="22">
      <c r="C22" s="14" t="inlineStr">
        <is>
          <t>Jan-26</t>
        </is>
      </c>
      <c r="D22" s="14" t="inlineStr">
        <is>
          <t>Feb-26</t>
        </is>
      </c>
      <c r="E22" s="14" t="inlineStr">
        <is>
          <t>Mar-26</t>
        </is>
      </c>
      <c r="F22" s="14" t="inlineStr">
        <is>
          <t>Apr-26</t>
        </is>
      </c>
      <c r="G22" s="14" t="inlineStr">
        <is>
          <t>May-26</t>
        </is>
      </c>
      <c r="H22" s="14" t="inlineStr">
        <is>
          <t>Jun-26</t>
        </is>
      </c>
      <c r="I22" s="14" t="inlineStr">
        <is>
          <t>Jul-26</t>
        </is>
      </c>
      <c r="J22" s="14" t="inlineStr">
        <is>
          <t>Aug-26</t>
        </is>
      </c>
      <c r="K22" s="14" t="inlineStr">
        <is>
          <t>Sep-26</t>
        </is>
      </c>
      <c r="L22" s="14" t="inlineStr">
        <is>
          <t>Oct-26</t>
        </is>
      </c>
      <c r="M22" s="14" t="inlineStr">
        <is>
          <t>Nov-26</t>
        </is>
      </c>
      <c r="N22" s="14" t="inlineStr">
        <is>
          <t>Dec-26</t>
        </is>
      </c>
      <c r="O22" s="14" t="inlineStr">
        <is>
          <t>FY26</t>
        </is>
      </c>
    </row>
    <row r="23">
      <c r="B23" s="15" t="inlineStr">
        <is>
          <t>RTD Beverages CPU</t>
        </is>
      </c>
      <c r="C23" s="20">
        <f>'01_Assumptions'!$I$26</f>
        <v/>
      </c>
      <c r="D23" s="20">
        <f>'01_Assumptions'!$I$26</f>
        <v/>
      </c>
      <c r="E23" s="20">
        <f>'01_Assumptions'!$I$26</f>
        <v/>
      </c>
      <c r="F23" s="20">
        <f>'01_Assumptions'!$I$26</f>
        <v/>
      </c>
      <c r="G23" s="20">
        <f>'01_Assumptions'!$I$26</f>
        <v/>
      </c>
      <c r="H23" s="20">
        <f>'01_Assumptions'!$I$26</f>
        <v/>
      </c>
      <c r="I23" s="20">
        <f>'01_Assumptions'!$I$26</f>
        <v/>
      </c>
      <c r="J23" s="20">
        <f>'01_Assumptions'!$I$26</f>
        <v/>
      </c>
      <c r="K23" s="20">
        <f>'01_Assumptions'!$I$26</f>
        <v/>
      </c>
      <c r="L23" s="20">
        <f>'01_Assumptions'!$I$26</f>
        <v/>
      </c>
      <c r="M23" s="20">
        <f>'01_Assumptions'!$I$26</f>
        <v/>
      </c>
      <c r="N23" s="20">
        <f>'01_Assumptions'!$I$26</f>
        <v/>
      </c>
      <c r="O23" s="20">
        <f>AVERAGE(C23:N23)</f>
        <v/>
      </c>
    </row>
    <row r="24">
      <c r="B24" s="15" t="inlineStr">
        <is>
          <t>Salty Snacks CPU</t>
        </is>
      </c>
      <c r="C24" s="20">
        <f>'01_Assumptions'!$I$27</f>
        <v/>
      </c>
      <c r="D24" s="20">
        <f>'01_Assumptions'!$I$27</f>
        <v/>
      </c>
      <c r="E24" s="20">
        <f>'01_Assumptions'!$I$27</f>
        <v/>
      </c>
      <c r="F24" s="20">
        <f>'01_Assumptions'!$I$27</f>
        <v/>
      </c>
      <c r="G24" s="20">
        <f>'01_Assumptions'!$I$27</f>
        <v/>
      </c>
      <c r="H24" s="20">
        <f>'01_Assumptions'!$I$27</f>
        <v/>
      </c>
      <c r="I24" s="20">
        <f>'01_Assumptions'!$I$27</f>
        <v/>
      </c>
      <c r="J24" s="20">
        <f>'01_Assumptions'!$I$27</f>
        <v/>
      </c>
      <c r="K24" s="20">
        <f>'01_Assumptions'!$I$27</f>
        <v/>
      </c>
      <c r="L24" s="20">
        <f>'01_Assumptions'!$I$27</f>
        <v/>
      </c>
      <c r="M24" s="20">
        <f>'01_Assumptions'!$I$27</f>
        <v/>
      </c>
      <c r="N24" s="20">
        <f>'01_Assumptions'!$I$27</f>
        <v/>
      </c>
      <c r="O24" s="20">
        <f>AVERAGE(C24:N24)</f>
        <v/>
      </c>
    </row>
    <row r="25">
      <c r="B25" s="15" t="inlineStr">
        <is>
          <t>Household Care CPU</t>
        </is>
      </c>
      <c r="C25" s="20">
        <f>'01_Assumptions'!$I$28</f>
        <v/>
      </c>
      <c r="D25" s="20">
        <f>'01_Assumptions'!$I$28</f>
        <v/>
      </c>
      <c r="E25" s="20">
        <f>'01_Assumptions'!$I$28</f>
        <v/>
      </c>
      <c r="F25" s="20">
        <f>'01_Assumptions'!$I$28</f>
        <v/>
      </c>
      <c r="G25" s="20">
        <f>'01_Assumptions'!$I$28</f>
        <v/>
      </c>
      <c r="H25" s="20">
        <f>'01_Assumptions'!$I$28</f>
        <v/>
      </c>
      <c r="I25" s="20">
        <f>'01_Assumptions'!$I$28</f>
        <v/>
      </c>
      <c r="J25" s="20">
        <f>'01_Assumptions'!$I$28</f>
        <v/>
      </c>
      <c r="K25" s="20">
        <f>'01_Assumptions'!$I$28</f>
        <v/>
      </c>
      <c r="L25" s="20">
        <f>'01_Assumptions'!$I$28</f>
        <v/>
      </c>
      <c r="M25" s="20">
        <f>'01_Assumptions'!$I$28</f>
        <v/>
      </c>
      <c r="N25" s="20">
        <f>'01_Assumptions'!$I$28</f>
        <v/>
      </c>
      <c r="O25" s="20">
        <f>AVERAGE(C25:N25)</f>
        <v/>
      </c>
    </row>
    <row r="26">
      <c r="B26" s="15" t="inlineStr">
        <is>
          <t>Personal Care CPU</t>
        </is>
      </c>
      <c r="C26" s="20">
        <f>'01_Assumptions'!$I$29</f>
        <v/>
      </c>
      <c r="D26" s="20">
        <f>'01_Assumptions'!$I$29</f>
        <v/>
      </c>
      <c r="E26" s="20">
        <f>'01_Assumptions'!$I$29</f>
        <v/>
      </c>
      <c r="F26" s="20">
        <f>'01_Assumptions'!$I$29</f>
        <v/>
      </c>
      <c r="G26" s="20">
        <f>'01_Assumptions'!$I$29</f>
        <v/>
      </c>
      <c r="H26" s="20">
        <f>'01_Assumptions'!$I$29</f>
        <v/>
      </c>
      <c r="I26" s="20">
        <f>'01_Assumptions'!$I$29</f>
        <v/>
      </c>
      <c r="J26" s="20">
        <f>'01_Assumptions'!$I$29</f>
        <v/>
      </c>
      <c r="K26" s="20">
        <f>'01_Assumptions'!$I$29</f>
        <v/>
      </c>
      <c r="L26" s="20">
        <f>'01_Assumptions'!$I$29</f>
        <v/>
      </c>
      <c r="M26" s="20">
        <f>'01_Assumptions'!$I$29</f>
        <v/>
      </c>
      <c r="N26" s="20">
        <f>'01_Assumptions'!$I$29</f>
        <v/>
      </c>
      <c r="O26" s="20">
        <f>AVERAGE(C26:N26)</f>
        <v/>
      </c>
    </row>
    <row r="28">
      <c r="B28" s="18" t="inlineStr">
        <is>
          <t>RTD Beverages COGS</t>
        </is>
      </c>
      <c r="C28" s="28">
        <f>'02_Revenue_Build'!C33*C23</f>
        <v/>
      </c>
      <c r="D28" s="28">
        <f>'02_Revenue_Build'!D33*D23</f>
        <v/>
      </c>
      <c r="E28" s="28">
        <f>'02_Revenue_Build'!E33*E23</f>
        <v/>
      </c>
      <c r="F28" s="28">
        <f>'02_Revenue_Build'!F33*F23</f>
        <v/>
      </c>
      <c r="G28" s="28">
        <f>'02_Revenue_Build'!G33*G23</f>
        <v/>
      </c>
      <c r="H28" s="28">
        <f>'02_Revenue_Build'!H33*H23</f>
        <v/>
      </c>
      <c r="I28" s="28">
        <f>'02_Revenue_Build'!I33*I23</f>
        <v/>
      </c>
      <c r="J28" s="28">
        <f>'02_Revenue_Build'!J33*J23</f>
        <v/>
      </c>
      <c r="K28" s="28">
        <f>'02_Revenue_Build'!K33*K23</f>
        <v/>
      </c>
      <c r="L28" s="28">
        <f>'02_Revenue_Build'!L33*L23</f>
        <v/>
      </c>
      <c r="M28" s="28">
        <f>'02_Revenue_Build'!M33*M23</f>
        <v/>
      </c>
      <c r="N28" s="28">
        <f>'02_Revenue_Build'!N33*N23</f>
        <v/>
      </c>
      <c r="O28" s="23">
        <f>SUM(C28:N28)</f>
        <v/>
      </c>
    </row>
    <row r="29">
      <c r="B29" s="18" t="inlineStr">
        <is>
          <t>Salty Snacks COGS</t>
        </is>
      </c>
      <c r="C29" s="28">
        <f>'02_Revenue_Build'!C34*C24</f>
        <v/>
      </c>
      <c r="D29" s="28">
        <f>'02_Revenue_Build'!D34*D24</f>
        <v/>
      </c>
      <c r="E29" s="28">
        <f>'02_Revenue_Build'!E34*E24</f>
        <v/>
      </c>
      <c r="F29" s="28">
        <f>'02_Revenue_Build'!F34*F24</f>
        <v/>
      </c>
      <c r="G29" s="28">
        <f>'02_Revenue_Build'!G34*G24</f>
        <v/>
      </c>
      <c r="H29" s="28">
        <f>'02_Revenue_Build'!H34*H24</f>
        <v/>
      </c>
      <c r="I29" s="28">
        <f>'02_Revenue_Build'!I34*I24</f>
        <v/>
      </c>
      <c r="J29" s="28">
        <f>'02_Revenue_Build'!J34*J24</f>
        <v/>
      </c>
      <c r="K29" s="28">
        <f>'02_Revenue_Build'!K34*K24</f>
        <v/>
      </c>
      <c r="L29" s="28">
        <f>'02_Revenue_Build'!L34*L24</f>
        <v/>
      </c>
      <c r="M29" s="28">
        <f>'02_Revenue_Build'!M34*M24</f>
        <v/>
      </c>
      <c r="N29" s="28">
        <f>'02_Revenue_Build'!N34*N24</f>
        <v/>
      </c>
      <c r="O29" s="23">
        <f>SUM(C29:N29)</f>
        <v/>
      </c>
    </row>
    <row r="30">
      <c r="B30" s="18" t="inlineStr">
        <is>
          <t>Household Care COGS</t>
        </is>
      </c>
      <c r="C30" s="28">
        <f>'02_Revenue_Build'!C35*C25</f>
        <v/>
      </c>
      <c r="D30" s="28">
        <f>'02_Revenue_Build'!D35*D25</f>
        <v/>
      </c>
      <c r="E30" s="28">
        <f>'02_Revenue_Build'!E35*E25</f>
        <v/>
      </c>
      <c r="F30" s="28">
        <f>'02_Revenue_Build'!F35*F25</f>
        <v/>
      </c>
      <c r="G30" s="28">
        <f>'02_Revenue_Build'!G35*G25</f>
        <v/>
      </c>
      <c r="H30" s="28">
        <f>'02_Revenue_Build'!H35*H25</f>
        <v/>
      </c>
      <c r="I30" s="28">
        <f>'02_Revenue_Build'!I35*I25</f>
        <v/>
      </c>
      <c r="J30" s="28">
        <f>'02_Revenue_Build'!J35*J25</f>
        <v/>
      </c>
      <c r="K30" s="28">
        <f>'02_Revenue_Build'!K35*K25</f>
        <v/>
      </c>
      <c r="L30" s="28">
        <f>'02_Revenue_Build'!L35*L25</f>
        <v/>
      </c>
      <c r="M30" s="28">
        <f>'02_Revenue_Build'!M35*M25</f>
        <v/>
      </c>
      <c r="N30" s="28">
        <f>'02_Revenue_Build'!N35*N25</f>
        <v/>
      </c>
      <c r="O30" s="23">
        <f>SUM(C30:N30)</f>
        <v/>
      </c>
    </row>
    <row r="31">
      <c r="B31" s="18" t="inlineStr">
        <is>
          <t>Personal Care COGS</t>
        </is>
      </c>
      <c r="C31" s="28">
        <f>'02_Revenue_Build'!C36*C26</f>
        <v/>
      </c>
      <c r="D31" s="28">
        <f>'02_Revenue_Build'!D36*D26</f>
        <v/>
      </c>
      <c r="E31" s="28">
        <f>'02_Revenue_Build'!E36*E26</f>
        <v/>
      </c>
      <c r="F31" s="28">
        <f>'02_Revenue_Build'!F36*F26</f>
        <v/>
      </c>
      <c r="G31" s="28">
        <f>'02_Revenue_Build'!G36*G26</f>
        <v/>
      </c>
      <c r="H31" s="28">
        <f>'02_Revenue_Build'!H36*H26</f>
        <v/>
      </c>
      <c r="I31" s="28">
        <f>'02_Revenue_Build'!I36*I26</f>
        <v/>
      </c>
      <c r="J31" s="28">
        <f>'02_Revenue_Build'!J36*J26</f>
        <v/>
      </c>
      <c r="K31" s="28">
        <f>'02_Revenue_Build'!K36*K26</f>
        <v/>
      </c>
      <c r="L31" s="28">
        <f>'02_Revenue_Build'!L36*L26</f>
        <v/>
      </c>
      <c r="M31" s="28">
        <f>'02_Revenue_Build'!M36*M26</f>
        <v/>
      </c>
      <c r="N31" s="28">
        <f>'02_Revenue_Build'!N36*N26</f>
        <v/>
      </c>
      <c r="O31" s="23">
        <f>SUM(C31:N31)</f>
        <v/>
      </c>
    </row>
    <row r="32">
      <c r="B32" s="18" t="inlineStr">
        <is>
          <t>Forecast COGS</t>
        </is>
      </c>
      <c r="C32" s="23">
        <f>SUM(C28:C31)</f>
        <v/>
      </c>
      <c r="D32" s="23">
        <f>SUM(D28:D31)</f>
        <v/>
      </c>
      <c r="E32" s="23">
        <f>SUM(E28:E31)</f>
        <v/>
      </c>
      <c r="F32" s="23">
        <f>SUM(F28:F31)</f>
        <v/>
      </c>
      <c r="G32" s="23">
        <f>SUM(G28:G31)</f>
        <v/>
      </c>
      <c r="H32" s="23">
        <f>SUM(H28:H31)</f>
        <v/>
      </c>
      <c r="I32" s="23">
        <f>SUM(I28:I31)</f>
        <v/>
      </c>
      <c r="J32" s="23">
        <f>SUM(J28:J31)</f>
        <v/>
      </c>
      <c r="K32" s="23">
        <f>SUM(K28:K31)</f>
        <v/>
      </c>
      <c r="L32" s="23">
        <f>SUM(L28:L31)</f>
        <v/>
      </c>
      <c r="M32" s="23">
        <f>SUM(M28:M31)</f>
        <v/>
      </c>
      <c r="N32" s="23">
        <f>SUM(N28:N31)</f>
        <v/>
      </c>
      <c r="O32" s="23">
        <f>SUM(O28:O31)</f>
        <v/>
      </c>
    </row>
    <row r="33">
      <c r="B33" t="inlineStr">
        <is>
          <t>Forecast gross profit</t>
        </is>
      </c>
      <c r="C33" s="23">
        <f>'02_Revenue_Build'!C48-C32</f>
        <v/>
      </c>
      <c r="D33" s="23">
        <f>'02_Revenue_Build'!D48-D32</f>
        <v/>
      </c>
      <c r="E33" s="23">
        <f>'02_Revenue_Build'!E48-E32</f>
        <v/>
      </c>
      <c r="F33" s="23">
        <f>'02_Revenue_Build'!F48-F32</f>
        <v/>
      </c>
      <c r="G33" s="23">
        <f>'02_Revenue_Build'!G48-G32</f>
        <v/>
      </c>
      <c r="H33" s="23">
        <f>'02_Revenue_Build'!H48-H32</f>
        <v/>
      </c>
      <c r="I33" s="23">
        <f>'02_Revenue_Build'!I48-I32</f>
        <v/>
      </c>
      <c r="J33" s="23">
        <f>'02_Revenue_Build'!J48-J32</f>
        <v/>
      </c>
      <c r="K33" s="23">
        <f>'02_Revenue_Build'!K48-K32</f>
        <v/>
      </c>
      <c r="L33" s="23">
        <f>'02_Revenue_Build'!L48-L32</f>
        <v/>
      </c>
      <c r="M33" s="23">
        <f>'02_Revenue_Build'!M48-M32</f>
        <v/>
      </c>
      <c r="N33" s="23">
        <f>'02_Revenue_Build'!N48-N32</f>
        <v/>
      </c>
      <c r="O33" s="23">
        <f>'02_Revenue_Build'!O48-O32</f>
        <v/>
      </c>
    </row>
    <row r="34">
      <c r="B34" t="inlineStr">
        <is>
          <t>Forecast gross margin %</t>
        </is>
      </c>
      <c r="C34" s="29">
        <f>IF('02_Revenue_Build'!C48=0,0,C33/'02_Revenue_Build'!C48)</f>
        <v/>
      </c>
      <c r="D34" s="29">
        <f>IF('02_Revenue_Build'!D48=0,0,D33/'02_Revenue_Build'!D48)</f>
        <v/>
      </c>
      <c r="E34" s="29">
        <f>IF('02_Revenue_Build'!E48=0,0,E33/'02_Revenue_Build'!E48)</f>
        <v/>
      </c>
      <c r="F34" s="29">
        <f>IF('02_Revenue_Build'!F48=0,0,F33/'02_Revenue_Build'!F48)</f>
        <v/>
      </c>
      <c r="G34" s="29">
        <f>IF('02_Revenue_Build'!G48=0,0,G33/'02_Revenue_Build'!G48)</f>
        <v/>
      </c>
      <c r="H34" s="29">
        <f>IF('02_Revenue_Build'!H48=0,0,H33/'02_Revenue_Build'!H48)</f>
        <v/>
      </c>
      <c r="I34" s="29">
        <f>IF('02_Revenue_Build'!I48=0,0,I33/'02_Revenue_Build'!I48)</f>
        <v/>
      </c>
      <c r="J34" s="29">
        <f>IF('02_Revenue_Build'!J48=0,0,J33/'02_Revenue_Build'!J48)</f>
        <v/>
      </c>
      <c r="K34" s="29">
        <f>IF('02_Revenue_Build'!K48=0,0,K33/'02_Revenue_Build'!K48)</f>
        <v/>
      </c>
      <c r="L34" s="29">
        <f>IF('02_Revenue_Build'!L48=0,0,L33/'02_Revenue_Build'!L48)</f>
        <v/>
      </c>
      <c r="M34" s="29">
        <f>IF('02_Revenue_Build'!M48=0,0,M33/'02_Revenue_Build'!M48)</f>
        <v/>
      </c>
      <c r="N34" s="29">
        <f>IF('02_Revenue_Build'!N48=0,0,N33/'02_Revenue_Build'!N48)</f>
        <v/>
      </c>
      <c r="O34" s="29">
        <f>IF('02_Revenue_Build'!O48=0,0,O33/'02_Revenue_Build'!O48)</f>
        <v/>
      </c>
    </row>
    <row r="36">
      <c r="B36" s="8" t="inlineStr">
        <is>
          <t>VARIANCE (forecast − plan)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>
      <c r="C37" s="14" t="inlineStr">
        <is>
          <t>Jan-26</t>
        </is>
      </c>
      <c r="D37" s="14" t="inlineStr">
        <is>
          <t>Feb-26</t>
        </is>
      </c>
      <c r="E37" s="14" t="inlineStr">
        <is>
          <t>Mar-26</t>
        </is>
      </c>
      <c r="F37" s="14" t="inlineStr">
        <is>
          <t>Apr-26</t>
        </is>
      </c>
      <c r="G37" s="14" t="inlineStr">
        <is>
          <t>May-26</t>
        </is>
      </c>
      <c r="H37" s="14" t="inlineStr">
        <is>
          <t>Jun-26</t>
        </is>
      </c>
      <c r="I37" s="14" t="inlineStr">
        <is>
          <t>Jul-26</t>
        </is>
      </c>
      <c r="J37" s="14" t="inlineStr">
        <is>
          <t>Aug-26</t>
        </is>
      </c>
      <c r="K37" s="14" t="inlineStr">
        <is>
          <t>Sep-26</t>
        </is>
      </c>
      <c r="L37" s="14" t="inlineStr">
        <is>
          <t>Oct-26</t>
        </is>
      </c>
      <c r="M37" s="14" t="inlineStr">
        <is>
          <t>Nov-26</t>
        </is>
      </c>
      <c r="N37" s="14" t="inlineStr">
        <is>
          <t>Dec-26</t>
        </is>
      </c>
      <c r="O37" s="14" t="inlineStr">
        <is>
          <t>FY26</t>
        </is>
      </c>
    </row>
    <row r="38">
      <c r="B38" t="inlineStr">
        <is>
          <t>COGS var</t>
        </is>
      </c>
      <c r="C38" s="28">
        <f>C32-C17</f>
        <v/>
      </c>
      <c r="D38" s="28">
        <f>D32-D17</f>
        <v/>
      </c>
      <c r="E38" s="28">
        <f>E32-E17</f>
        <v/>
      </c>
      <c r="F38" s="28">
        <f>F32-F17</f>
        <v/>
      </c>
      <c r="G38" s="28">
        <f>G32-G17</f>
        <v/>
      </c>
      <c r="H38" s="28">
        <f>H32-H17</f>
        <v/>
      </c>
      <c r="I38" s="28">
        <f>I32-I17</f>
        <v/>
      </c>
      <c r="J38" s="28">
        <f>J32-J17</f>
        <v/>
      </c>
      <c r="K38" s="28">
        <f>K32-K17</f>
        <v/>
      </c>
      <c r="L38" s="28">
        <f>L32-L17</f>
        <v/>
      </c>
      <c r="M38" s="28">
        <f>M32-M17</f>
        <v/>
      </c>
      <c r="N38" s="28">
        <f>N32-N17</f>
        <v/>
      </c>
      <c r="O38" s="28">
        <f>O32-O17</f>
        <v/>
      </c>
    </row>
    <row r="39">
      <c r="B39" t="inlineStr">
        <is>
          <t>Gross profit var</t>
        </is>
      </c>
      <c r="C39" s="23">
        <f>C33-C18</f>
        <v/>
      </c>
      <c r="D39" s="23">
        <f>D33-D18</f>
        <v/>
      </c>
      <c r="E39" s="23">
        <f>E33-E18</f>
        <v/>
      </c>
      <c r="F39" s="23">
        <f>F33-F18</f>
        <v/>
      </c>
      <c r="G39" s="23">
        <f>G33-G18</f>
        <v/>
      </c>
      <c r="H39" s="23">
        <f>H33-H18</f>
        <v/>
      </c>
      <c r="I39" s="23">
        <f>I33-I18</f>
        <v/>
      </c>
      <c r="J39" s="23">
        <f>J33-J18</f>
        <v/>
      </c>
      <c r="K39" s="23">
        <f>K33-K18</f>
        <v/>
      </c>
      <c r="L39" s="23">
        <f>L33-L18</f>
        <v/>
      </c>
      <c r="M39" s="23">
        <f>M33-M18</f>
        <v/>
      </c>
      <c r="N39" s="23">
        <f>N33-N18</f>
        <v/>
      </c>
      <c r="O39" s="23">
        <f>O33-O18</f>
        <v/>
      </c>
    </row>
    <row r="40">
      <c r="B40" t="inlineStr">
        <is>
          <t>Gross margin pts</t>
        </is>
      </c>
      <c r="C40" s="29">
        <f>C34-C19</f>
        <v/>
      </c>
      <c r="D40" s="29">
        <f>D34-D19</f>
        <v/>
      </c>
      <c r="E40" s="29">
        <f>E34-E19</f>
        <v/>
      </c>
      <c r="F40" s="29">
        <f>F34-F19</f>
        <v/>
      </c>
      <c r="G40" s="29">
        <f>G34-G19</f>
        <v/>
      </c>
      <c r="H40" s="29">
        <f>H34-H19</f>
        <v/>
      </c>
      <c r="I40" s="29">
        <f>I34-I19</f>
        <v/>
      </c>
      <c r="J40" s="29">
        <f>J34-J19</f>
        <v/>
      </c>
      <c r="K40" s="29">
        <f>K34-K19</f>
        <v/>
      </c>
      <c r="L40" s="29">
        <f>L34-L19</f>
        <v/>
      </c>
      <c r="M40" s="29">
        <f>M34-M19</f>
        <v/>
      </c>
      <c r="N40" s="29">
        <f>N34-N19</f>
        <v/>
      </c>
      <c r="O40" s="29">
        <f>O34-O19</f>
        <v/>
      </c>
    </row>
    <row r="42">
      <c r="B42" s="12" t="inlineStr">
        <is>
          <t>CPU is $ per case. COGS $000s = 000 cases × $ per case. Inflation and the scenario unit-cost factor both sit in forecast CPU on Assumptions (column I).</t>
        </is>
      </c>
    </row>
  </sheetData>
  <pageMargins left="0.75" right="0.75" top="1" bottom="1" header="0.5" footer="0.5"/>
  <pageSetup orientation="landscape" paperSize="3" fitToHeight="0" fitToWidth="1"/>
  <headerFooter>
    <oddHeader/>
    <oddFooter>&amp;LNorthline Consumer Products  |  fictional sample  |  $000s&amp;RPage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B2:O3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4" customWidth="1" min="16" max="16"/>
  </cols>
  <sheetData>
    <row r="2">
      <c r="B2" s="1" t="inlineStr">
        <is>
          <t>OpEx by cost center</t>
        </is>
      </c>
    </row>
    <row r="3" ht="32" customHeight="1">
      <c r="B3" s="32" t="inlineStr">
        <is>
          <t>Selling and marketing = % of sales + monthly fixed. Distribution = $ per case + monthly fixed. G&amp;A and R&amp;D are monthly fixed. Discretionary factor scales forecast marketing + R&amp;D fixed.</t>
        </is>
      </c>
    </row>
    <row r="4">
      <c r="B4" t="inlineStr">
        <is>
          <t>Scenario</t>
        </is>
      </c>
      <c r="C4" s="11">
        <f>'01_Assumptions'!D6</f>
        <v/>
      </c>
    </row>
    <row r="6">
      <c r="B6" s="8" t="inlineStr">
        <is>
          <t>PLAN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</row>
    <row r="7">
      <c r="C7" s="14" t="inlineStr">
        <is>
          <t>Jan-26</t>
        </is>
      </c>
      <c r="D7" s="14" t="inlineStr">
        <is>
          <t>Feb-26</t>
        </is>
      </c>
      <c r="E7" s="14" t="inlineStr">
        <is>
          <t>Mar-26</t>
        </is>
      </c>
      <c r="F7" s="14" t="inlineStr">
        <is>
          <t>Apr-26</t>
        </is>
      </c>
      <c r="G7" s="14" t="inlineStr">
        <is>
          <t>May-26</t>
        </is>
      </c>
      <c r="H7" s="14" t="inlineStr">
        <is>
          <t>Jun-26</t>
        </is>
      </c>
      <c r="I7" s="14" t="inlineStr">
        <is>
          <t>Jul-26</t>
        </is>
      </c>
      <c r="J7" s="14" t="inlineStr">
        <is>
          <t>Aug-26</t>
        </is>
      </c>
      <c r="K7" s="14" t="inlineStr">
        <is>
          <t>Sep-26</t>
        </is>
      </c>
      <c r="L7" s="14" t="inlineStr">
        <is>
          <t>Oct-26</t>
        </is>
      </c>
      <c r="M7" s="14" t="inlineStr">
        <is>
          <t>Nov-26</t>
        </is>
      </c>
      <c r="N7" s="14" t="inlineStr">
        <is>
          <t>Dec-26</t>
        </is>
      </c>
      <c r="O7" s="14" t="inlineStr">
        <is>
          <t>FY26</t>
        </is>
      </c>
    </row>
    <row r="8">
      <c r="B8" s="18" t="inlineStr">
        <is>
          <t>Selling</t>
        </is>
      </c>
      <c r="C8" s="28">
        <f>'01_Assumptions'!$C$33*'02_Revenue_Build'!C23+'01_Assumptions'!C39</f>
        <v/>
      </c>
      <c r="D8" s="28">
        <f>'01_Assumptions'!$C$33*'02_Revenue_Build'!D23+'01_Assumptions'!D39</f>
        <v/>
      </c>
      <c r="E8" s="28">
        <f>'01_Assumptions'!$C$33*'02_Revenue_Build'!E23+'01_Assumptions'!E39</f>
        <v/>
      </c>
      <c r="F8" s="28">
        <f>'01_Assumptions'!$C$33*'02_Revenue_Build'!F23+'01_Assumptions'!F39</f>
        <v/>
      </c>
      <c r="G8" s="28">
        <f>'01_Assumptions'!$C$33*'02_Revenue_Build'!G23+'01_Assumptions'!G39</f>
        <v/>
      </c>
      <c r="H8" s="28">
        <f>'01_Assumptions'!$C$33*'02_Revenue_Build'!H23+'01_Assumptions'!H39</f>
        <v/>
      </c>
      <c r="I8" s="28">
        <f>'01_Assumptions'!$C$33*'02_Revenue_Build'!I23+'01_Assumptions'!I39</f>
        <v/>
      </c>
      <c r="J8" s="28">
        <f>'01_Assumptions'!$C$33*'02_Revenue_Build'!J23+'01_Assumptions'!J39</f>
        <v/>
      </c>
      <c r="K8" s="28">
        <f>'01_Assumptions'!$C$33*'02_Revenue_Build'!K23+'01_Assumptions'!K39</f>
        <v/>
      </c>
      <c r="L8" s="28">
        <f>'01_Assumptions'!$C$33*'02_Revenue_Build'!L23+'01_Assumptions'!L39</f>
        <v/>
      </c>
      <c r="M8" s="28">
        <f>'01_Assumptions'!$C$33*'02_Revenue_Build'!M23+'01_Assumptions'!M39</f>
        <v/>
      </c>
      <c r="N8" s="28">
        <f>'01_Assumptions'!$C$33*'02_Revenue_Build'!N23+'01_Assumptions'!N39</f>
        <v/>
      </c>
      <c r="O8" s="23">
        <f>SUM(C8:N8)</f>
        <v/>
      </c>
    </row>
    <row r="9">
      <c r="B9" s="18" t="inlineStr">
        <is>
          <t>Marketing</t>
        </is>
      </c>
      <c r="C9" s="28">
        <f>'01_Assumptions'!$C$34*'02_Revenue_Build'!C23+'01_Assumptions'!C40</f>
        <v/>
      </c>
      <c r="D9" s="28">
        <f>'01_Assumptions'!$C$34*'02_Revenue_Build'!D23+'01_Assumptions'!D40</f>
        <v/>
      </c>
      <c r="E9" s="28">
        <f>'01_Assumptions'!$C$34*'02_Revenue_Build'!E23+'01_Assumptions'!E40</f>
        <v/>
      </c>
      <c r="F9" s="28">
        <f>'01_Assumptions'!$C$34*'02_Revenue_Build'!F23+'01_Assumptions'!F40</f>
        <v/>
      </c>
      <c r="G9" s="28">
        <f>'01_Assumptions'!$C$34*'02_Revenue_Build'!G23+'01_Assumptions'!G40</f>
        <v/>
      </c>
      <c r="H9" s="28">
        <f>'01_Assumptions'!$C$34*'02_Revenue_Build'!H23+'01_Assumptions'!H40</f>
        <v/>
      </c>
      <c r="I9" s="28">
        <f>'01_Assumptions'!$C$34*'02_Revenue_Build'!I23+'01_Assumptions'!I40</f>
        <v/>
      </c>
      <c r="J9" s="28">
        <f>'01_Assumptions'!$C$34*'02_Revenue_Build'!J23+'01_Assumptions'!J40</f>
        <v/>
      </c>
      <c r="K9" s="28">
        <f>'01_Assumptions'!$C$34*'02_Revenue_Build'!K23+'01_Assumptions'!K40</f>
        <v/>
      </c>
      <c r="L9" s="28">
        <f>'01_Assumptions'!$C$34*'02_Revenue_Build'!L23+'01_Assumptions'!L40</f>
        <v/>
      </c>
      <c r="M9" s="28">
        <f>'01_Assumptions'!$C$34*'02_Revenue_Build'!M23+'01_Assumptions'!M40</f>
        <v/>
      </c>
      <c r="N9" s="28">
        <f>'01_Assumptions'!$C$34*'02_Revenue_Build'!N23+'01_Assumptions'!N40</f>
        <v/>
      </c>
      <c r="O9" s="23">
        <f>SUM(C9:N9)</f>
        <v/>
      </c>
    </row>
    <row r="10">
      <c r="B10" s="18" t="inlineStr">
        <is>
          <t>Distribution</t>
        </is>
      </c>
      <c r="C10" s="28">
        <f>'01_Assumptions'!$C$35*'02_Revenue_Build'!C12+'01_Assumptions'!C41</f>
        <v/>
      </c>
      <c r="D10" s="28">
        <f>'01_Assumptions'!$C$35*'02_Revenue_Build'!D12+'01_Assumptions'!D41</f>
        <v/>
      </c>
      <c r="E10" s="28">
        <f>'01_Assumptions'!$C$35*'02_Revenue_Build'!E12+'01_Assumptions'!E41</f>
        <v/>
      </c>
      <c r="F10" s="28">
        <f>'01_Assumptions'!$C$35*'02_Revenue_Build'!F12+'01_Assumptions'!F41</f>
        <v/>
      </c>
      <c r="G10" s="28">
        <f>'01_Assumptions'!$C$35*'02_Revenue_Build'!G12+'01_Assumptions'!G41</f>
        <v/>
      </c>
      <c r="H10" s="28">
        <f>'01_Assumptions'!$C$35*'02_Revenue_Build'!H12+'01_Assumptions'!H41</f>
        <v/>
      </c>
      <c r="I10" s="28">
        <f>'01_Assumptions'!$C$35*'02_Revenue_Build'!I12+'01_Assumptions'!I41</f>
        <v/>
      </c>
      <c r="J10" s="28">
        <f>'01_Assumptions'!$C$35*'02_Revenue_Build'!J12+'01_Assumptions'!J41</f>
        <v/>
      </c>
      <c r="K10" s="28">
        <f>'01_Assumptions'!$C$35*'02_Revenue_Build'!K12+'01_Assumptions'!K41</f>
        <v/>
      </c>
      <c r="L10" s="28">
        <f>'01_Assumptions'!$C$35*'02_Revenue_Build'!L12+'01_Assumptions'!L41</f>
        <v/>
      </c>
      <c r="M10" s="28">
        <f>'01_Assumptions'!$C$35*'02_Revenue_Build'!M12+'01_Assumptions'!M41</f>
        <v/>
      </c>
      <c r="N10" s="28">
        <f>'01_Assumptions'!$C$35*'02_Revenue_Build'!N12+'01_Assumptions'!N41</f>
        <v/>
      </c>
      <c r="O10" s="23">
        <f>SUM(C10:N10)</f>
        <v/>
      </c>
    </row>
    <row r="11">
      <c r="B11" s="18" t="inlineStr">
        <is>
          <t>G&amp;A</t>
        </is>
      </c>
      <c r="C11" s="28">
        <f>'01_Assumptions'!C42</f>
        <v/>
      </c>
      <c r="D11" s="28">
        <f>'01_Assumptions'!D42</f>
        <v/>
      </c>
      <c r="E11" s="28">
        <f>'01_Assumptions'!E42</f>
        <v/>
      </c>
      <c r="F11" s="28">
        <f>'01_Assumptions'!F42</f>
        <v/>
      </c>
      <c r="G11" s="28">
        <f>'01_Assumptions'!G42</f>
        <v/>
      </c>
      <c r="H11" s="28">
        <f>'01_Assumptions'!H42</f>
        <v/>
      </c>
      <c r="I11" s="28">
        <f>'01_Assumptions'!I42</f>
        <v/>
      </c>
      <c r="J11" s="28">
        <f>'01_Assumptions'!J42</f>
        <v/>
      </c>
      <c r="K11" s="28">
        <f>'01_Assumptions'!K42</f>
        <v/>
      </c>
      <c r="L11" s="28">
        <f>'01_Assumptions'!L42</f>
        <v/>
      </c>
      <c r="M11" s="28">
        <f>'01_Assumptions'!M42</f>
        <v/>
      </c>
      <c r="N11" s="28">
        <f>'01_Assumptions'!N42</f>
        <v/>
      </c>
      <c r="O11" s="23">
        <f>SUM(C11:N11)</f>
        <v/>
      </c>
    </row>
    <row r="12">
      <c r="B12" s="18" t="inlineStr">
        <is>
          <t>R&amp;D</t>
        </is>
      </c>
      <c r="C12" s="28">
        <f>'01_Assumptions'!C43</f>
        <v/>
      </c>
      <c r="D12" s="28">
        <f>'01_Assumptions'!D43</f>
        <v/>
      </c>
      <c r="E12" s="28">
        <f>'01_Assumptions'!E43</f>
        <v/>
      </c>
      <c r="F12" s="28">
        <f>'01_Assumptions'!F43</f>
        <v/>
      </c>
      <c r="G12" s="28">
        <f>'01_Assumptions'!G43</f>
        <v/>
      </c>
      <c r="H12" s="28">
        <f>'01_Assumptions'!H43</f>
        <v/>
      </c>
      <c r="I12" s="28">
        <f>'01_Assumptions'!I43</f>
        <v/>
      </c>
      <c r="J12" s="28">
        <f>'01_Assumptions'!J43</f>
        <v/>
      </c>
      <c r="K12" s="28">
        <f>'01_Assumptions'!K43</f>
        <v/>
      </c>
      <c r="L12" s="28">
        <f>'01_Assumptions'!L43</f>
        <v/>
      </c>
      <c r="M12" s="28">
        <f>'01_Assumptions'!M43</f>
        <v/>
      </c>
      <c r="N12" s="28">
        <f>'01_Assumptions'!N43</f>
        <v/>
      </c>
      <c r="O12" s="23">
        <f>SUM(C12:N12)</f>
        <v/>
      </c>
    </row>
    <row r="13">
      <c r="B13" s="18" t="inlineStr">
        <is>
          <t>Plan total OpEx</t>
        </is>
      </c>
      <c r="C13" s="23">
        <f>SUM(C8:C12)</f>
        <v/>
      </c>
      <c r="D13" s="23">
        <f>SUM(D8:D12)</f>
        <v/>
      </c>
      <c r="E13" s="23">
        <f>SUM(E8:E12)</f>
        <v/>
      </c>
      <c r="F13" s="23">
        <f>SUM(F8:F12)</f>
        <v/>
      </c>
      <c r="G13" s="23">
        <f>SUM(G8:G12)</f>
        <v/>
      </c>
      <c r="H13" s="23">
        <f>SUM(H8:H12)</f>
        <v/>
      </c>
      <c r="I13" s="23">
        <f>SUM(I8:I12)</f>
        <v/>
      </c>
      <c r="J13" s="23">
        <f>SUM(J8:J12)</f>
        <v/>
      </c>
      <c r="K13" s="23">
        <f>SUM(K8:K12)</f>
        <v/>
      </c>
      <c r="L13" s="23">
        <f>SUM(L8:L12)</f>
        <v/>
      </c>
      <c r="M13" s="23">
        <f>SUM(M8:M12)</f>
        <v/>
      </c>
      <c r="N13" s="23">
        <f>SUM(N8:N12)</f>
        <v/>
      </c>
      <c r="O13" s="23">
        <f>SUM(O8:O12)</f>
        <v/>
      </c>
    </row>
    <row r="14">
      <c r="B14" t="inlineStr">
        <is>
          <t>Plan OpEx % of sales</t>
        </is>
      </c>
      <c r="C14" s="29">
        <f>IF('02_Revenue_Build'!C23=0,0,C13/'02_Revenue_Build'!C23)</f>
        <v/>
      </c>
      <c r="D14" s="29">
        <f>IF('02_Revenue_Build'!D23=0,0,D13/'02_Revenue_Build'!D23)</f>
        <v/>
      </c>
      <c r="E14" s="29">
        <f>IF('02_Revenue_Build'!E23=0,0,E13/'02_Revenue_Build'!E23)</f>
        <v/>
      </c>
      <c r="F14" s="29">
        <f>IF('02_Revenue_Build'!F23=0,0,F13/'02_Revenue_Build'!F23)</f>
        <v/>
      </c>
      <c r="G14" s="29">
        <f>IF('02_Revenue_Build'!G23=0,0,G13/'02_Revenue_Build'!G23)</f>
        <v/>
      </c>
      <c r="H14" s="29">
        <f>IF('02_Revenue_Build'!H23=0,0,H13/'02_Revenue_Build'!H23)</f>
        <v/>
      </c>
      <c r="I14" s="29">
        <f>IF('02_Revenue_Build'!I23=0,0,I13/'02_Revenue_Build'!I23)</f>
        <v/>
      </c>
      <c r="J14" s="29">
        <f>IF('02_Revenue_Build'!J23=0,0,J13/'02_Revenue_Build'!J23)</f>
        <v/>
      </c>
      <c r="K14" s="29">
        <f>IF('02_Revenue_Build'!K23=0,0,K13/'02_Revenue_Build'!K23)</f>
        <v/>
      </c>
      <c r="L14" s="29">
        <f>IF('02_Revenue_Build'!L23=0,0,L13/'02_Revenue_Build'!L23)</f>
        <v/>
      </c>
      <c r="M14" s="29">
        <f>IF('02_Revenue_Build'!M23=0,0,M13/'02_Revenue_Build'!M23)</f>
        <v/>
      </c>
      <c r="N14" s="29">
        <f>IF('02_Revenue_Build'!N23=0,0,N13/'02_Revenue_Build'!N23)</f>
        <v/>
      </c>
      <c r="O14" s="29">
        <f>IF('02_Revenue_Build'!O23=0,0,O13/'02_Revenue_Build'!O23)</f>
        <v/>
      </c>
    </row>
    <row r="16">
      <c r="B16" s="8" t="inlineStr">
        <is>
          <t>FORECAST (scenario applied)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</row>
    <row r="17">
      <c r="C17" s="14" t="inlineStr">
        <is>
          <t>Jan-26</t>
        </is>
      </c>
      <c r="D17" s="14" t="inlineStr">
        <is>
          <t>Feb-26</t>
        </is>
      </c>
      <c r="E17" s="14" t="inlineStr">
        <is>
          <t>Mar-26</t>
        </is>
      </c>
      <c r="F17" s="14" t="inlineStr">
        <is>
          <t>Apr-26</t>
        </is>
      </c>
      <c r="G17" s="14" t="inlineStr">
        <is>
          <t>May-26</t>
        </is>
      </c>
      <c r="H17" s="14" t="inlineStr">
        <is>
          <t>Jun-26</t>
        </is>
      </c>
      <c r="I17" s="14" t="inlineStr">
        <is>
          <t>Jul-26</t>
        </is>
      </c>
      <c r="J17" s="14" t="inlineStr">
        <is>
          <t>Aug-26</t>
        </is>
      </c>
      <c r="K17" s="14" t="inlineStr">
        <is>
          <t>Sep-26</t>
        </is>
      </c>
      <c r="L17" s="14" t="inlineStr">
        <is>
          <t>Oct-26</t>
        </is>
      </c>
      <c r="M17" s="14" t="inlineStr">
        <is>
          <t>Nov-26</t>
        </is>
      </c>
      <c r="N17" s="14" t="inlineStr">
        <is>
          <t>Dec-26</t>
        </is>
      </c>
      <c r="O17" s="14" t="inlineStr">
        <is>
          <t>FY26</t>
        </is>
      </c>
    </row>
    <row r="18">
      <c r="B18" s="18" t="inlineStr">
        <is>
          <t>Selling</t>
        </is>
      </c>
      <c r="C18" s="28">
        <f>'01_Assumptions'!$D$33*'02_Revenue_Build'!C48+'01_Assumptions'!C48</f>
        <v/>
      </c>
      <c r="D18" s="28">
        <f>'01_Assumptions'!$D$33*'02_Revenue_Build'!D48+'01_Assumptions'!D48</f>
        <v/>
      </c>
      <c r="E18" s="28">
        <f>'01_Assumptions'!$D$33*'02_Revenue_Build'!E48+'01_Assumptions'!E48</f>
        <v/>
      </c>
      <c r="F18" s="28">
        <f>'01_Assumptions'!$D$33*'02_Revenue_Build'!F48+'01_Assumptions'!F48</f>
        <v/>
      </c>
      <c r="G18" s="28">
        <f>'01_Assumptions'!$D$33*'02_Revenue_Build'!G48+'01_Assumptions'!G48</f>
        <v/>
      </c>
      <c r="H18" s="28">
        <f>'01_Assumptions'!$D$33*'02_Revenue_Build'!H48+'01_Assumptions'!H48</f>
        <v/>
      </c>
      <c r="I18" s="28">
        <f>'01_Assumptions'!$D$33*'02_Revenue_Build'!I48+'01_Assumptions'!I48</f>
        <v/>
      </c>
      <c r="J18" s="28">
        <f>'01_Assumptions'!$D$33*'02_Revenue_Build'!J48+'01_Assumptions'!J48</f>
        <v/>
      </c>
      <c r="K18" s="28">
        <f>'01_Assumptions'!$D$33*'02_Revenue_Build'!K48+'01_Assumptions'!K48</f>
        <v/>
      </c>
      <c r="L18" s="28">
        <f>'01_Assumptions'!$D$33*'02_Revenue_Build'!L48+'01_Assumptions'!L48</f>
        <v/>
      </c>
      <c r="M18" s="28">
        <f>'01_Assumptions'!$D$33*'02_Revenue_Build'!M48+'01_Assumptions'!M48</f>
        <v/>
      </c>
      <c r="N18" s="28">
        <f>'01_Assumptions'!$D$33*'02_Revenue_Build'!N48+'01_Assumptions'!N48</f>
        <v/>
      </c>
      <c r="O18" s="23">
        <f>SUM(C18:N18)</f>
        <v/>
      </c>
    </row>
    <row r="19">
      <c r="B19" s="18" t="inlineStr">
        <is>
          <t>Marketing</t>
        </is>
      </c>
      <c r="C19" s="28">
        <f>'01_Assumptions'!$D$34*'02_Revenue_Build'!C48+'01_Assumptions'!C49*'01_Assumptions'!$C$10</f>
        <v/>
      </c>
      <c r="D19" s="28">
        <f>'01_Assumptions'!$D$34*'02_Revenue_Build'!D48+'01_Assumptions'!D49*'01_Assumptions'!$C$10</f>
        <v/>
      </c>
      <c r="E19" s="28">
        <f>'01_Assumptions'!$D$34*'02_Revenue_Build'!E48+'01_Assumptions'!E49*'01_Assumptions'!$C$10</f>
        <v/>
      </c>
      <c r="F19" s="28">
        <f>'01_Assumptions'!$D$34*'02_Revenue_Build'!F48+'01_Assumptions'!F49*'01_Assumptions'!$C$10</f>
        <v/>
      </c>
      <c r="G19" s="28">
        <f>'01_Assumptions'!$D$34*'02_Revenue_Build'!G48+'01_Assumptions'!G49*'01_Assumptions'!$C$10</f>
        <v/>
      </c>
      <c r="H19" s="28">
        <f>'01_Assumptions'!$D$34*'02_Revenue_Build'!H48+'01_Assumptions'!H49*'01_Assumptions'!$C$10</f>
        <v/>
      </c>
      <c r="I19" s="28">
        <f>'01_Assumptions'!$D$34*'02_Revenue_Build'!I48+'01_Assumptions'!I49*'01_Assumptions'!$C$10</f>
        <v/>
      </c>
      <c r="J19" s="28">
        <f>'01_Assumptions'!$D$34*'02_Revenue_Build'!J48+'01_Assumptions'!J49*'01_Assumptions'!$C$10</f>
        <v/>
      </c>
      <c r="K19" s="28">
        <f>'01_Assumptions'!$D$34*'02_Revenue_Build'!K48+'01_Assumptions'!K49*'01_Assumptions'!$C$10</f>
        <v/>
      </c>
      <c r="L19" s="28">
        <f>'01_Assumptions'!$D$34*'02_Revenue_Build'!L48+'01_Assumptions'!L49*'01_Assumptions'!$C$10</f>
        <v/>
      </c>
      <c r="M19" s="28">
        <f>'01_Assumptions'!$D$34*'02_Revenue_Build'!M48+'01_Assumptions'!M49*'01_Assumptions'!$C$10</f>
        <v/>
      </c>
      <c r="N19" s="28">
        <f>'01_Assumptions'!$D$34*'02_Revenue_Build'!N48+'01_Assumptions'!N49*'01_Assumptions'!$C$10</f>
        <v/>
      </c>
      <c r="O19" s="23">
        <f>SUM(C19:N19)</f>
        <v/>
      </c>
    </row>
    <row r="20">
      <c r="B20" s="18" t="inlineStr">
        <is>
          <t>Distribution</t>
        </is>
      </c>
      <c r="C20" s="28">
        <f>'01_Assumptions'!$D$35*'02_Revenue_Build'!C37+'01_Assumptions'!C50</f>
        <v/>
      </c>
      <c r="D20" s="28">
        <f>'01_Assumptions'!$D$35*'02_Revenue_Build'!D37+'01_Assumptions'!D50</f>
        <v/>
      </c>
      <c r="E20" s="28">
        <f>'01_Assumptions'!$D$35*'02_Revenue_Build'!E37+'01_Assumptions'!E50</f>
        <v/>
      </c>
      <c r="F20" s="28">
        <f>'01_Assumptions'!$D$35*'02_Revenue_Build'!F37+'01_Assumptions'!F50</f>
        <v/>
      </c>
      <c r="G20" s="28">
        <f>'01_Assumptions'!$D$35*'02_Revenue_Build'!G37+'01_Assumptions'!G50</f>
        <v/>
      </c>
      <c r="H20" s="28">
        <f>'01_Assumptions'!$D$35*'02_Revenue_Build'!H37+'01_Assumptions'!H50</f>
        <v/>
      </c>
      <c r="I20" s="28">
        <f>'01_Assumptions'!$D$35*'02_Revenue_Build'!I37+'01_Assumptions'!I50</f>
        <v/>
      </c>
      <c r="J20" s="28">
        <f>'01_Assumptions'!$D$35*'02_Revenue_Build'!J37+'01_Assumptions'!J50</f>
        <v/>
      </c>
      <c r="K20" s="28">
        <f>'01_Assumptions'!$D$35*'02_Revenue_Build'!K37+'01_Assumptions'!K50</f>
        <v/>
      </c>
      <c r="L20" s="28">
        <f>'01_Assumptions'!$D$35*'02_Revenue_Build'!L37+'01_Assumptions'!L50</f>
        <v/>
      </c>
      <c r="M20" s="28">
        <f>'01_Assumptions'!$D$35*'02_Revenue_Build'!M37+'01_Assumptions'!M50</f>
        <v/>
      </c>
      <c r="N20" s="28">
        <f>'01_Assumptions'!$D$35*'02_Revenue_Build'!N37+'01_Assumptions'!N50</f>
        <v/>
      </c>
      <c r="O20" s="23">
        <f>SUM(C20:N20)</f>
        <v/>
      </c>
    </row>
    <row r="21">
      <c r="B21" s="18" t="inlineStr">
        <is>
          <t>G&amp;A</t>
        </is>
      </c>
      <c r="C21" s="28">
        <f>'01_Assumptions'!C51</f>
        <v/>
      </c>
      <c r="D21" s="28">
        <f>'01_Assumptions'!D51</f>
        <v/>
      </c>
      <c r="E21" s="28">
        <f>'01_Assumptions'!E51</f>
        <v/>
      </c>
      <c r="F21" s="28">
        <f>'01_Assumptions'!F51</f>
        <v/>
      </c>
      <c r="G21" s="28">
        <f>'01_Assumptions'!G51</f>
        <v/>
      </c>
      <c r="H21" s="28">
        <f>'01_Assumptions'!H51</f>
        <v/>
      </c>
      <c r="I21" s="28">
        <f>'01_Assumptions'!I51</f>
        <v/>
      </c>
      <c r="J21" s="28">
        <f>'01_Assumptions'!J51</f>
        <v/>
      </c>
      <c r="K21" s="28">
        <f>'01_Assumptions'!K51</f>
        <v/>
      </c>
      <c r="L21" s="28">
        <f>'01_Assumptions'!L51</f>
        <v/>
      </c>
      <c r="M21" s="28">
        <f>'01_Assumptions'!M51</f>
        <v/>
      </c>
      <c r="N21" s="28">
        <f>'01_Assumptions'!N51</f>
        <v/>
      </c>
      <c r="O21" s="23">
        <f>SUM(C21:N21)</f>
        <v/>
      </c>
    </row>
    <row r="22">
      <c r="B22" s="18" t="inlineStr">
        <is>
          <t>R&amp;D</t>
        </is>
      </c>
      <c r="C22" s="28">
        <f>'01_Assumptions'!C52*'01_Assumptions'!$C$10</f>
        <v/>
      </c>
      <c r="D22" s="28">
        <f>'01_Assumptions'!D52*'01_Assumptions'!$C$10</f>
        <v/>
      </c>
      <c r="E22" s="28">
        <f>'01_Assumptions'!E52*'01_Assumptions'!$C$10</f>
        <v/>
      </c>
      <c r="F22" s="28">
        <f>'01_Assumptions'!F52*'01_Assumptions'!$C$10</f>
        <v/>
      </c>
      <c r="G22" s="28">
        <f>'01_Assumptions'!G52*'01_Assumptions'!$C$10</f>
        <v/>
      </c>
      <c r="H22" s="28">
        <f>'01_Assumptions'!H52*'01_Assumptions'!$C$10</f>
        <v/>
      </c>
      <c r="I22" s="28">
        <f>'01_Assumptions'!I52*'01_Assumptions'!$C$10</f>
        <v/>
      </c>
      <c r="J22" s="28">
        <f>'01_Assumptions'!J52*'01_Assumptions'!$C$10</f>
        <v/>
      </c>
      <c r="K22" s="28">
        <f>'01_Assumptions'!K52*'01_Assumptions'!$C$10</f>
        <v/>
      </c>
      <c r="L22" s="28">
        <f>'01_Assumptions'!L52*'01_Assumptions'!$C$10</f>
        <v/>
      </c>
      <c r="M22" s="28">
        <f>'01_Assumptions'!M52*'01_Assumptions'!$C$10</f>
        <v/>
      </c>
      <c r="N22" s="28">
        <f>'01_Assumptions'!N52*'01_Assumptions'!$C$10</f>
        <v/>
      </c>
      <c r="O22" s="23">
        <f>SUM(C22:N22)</f>
        <v/>
      </c>
    </row>
    <row r="23">
      <c r="B23" s="18" t="inlineStr">
        <is>
          <t>Forecast total OpEx</t>
        </is>
      </c>
      <c r="C23" s="23">
        <f>SUM(C18:C22)</f>
        <v/>
      </c>
      <c r="D23" s="23">
        <f>SUM(D18:D22)</f>
        <v/>
      </c>
      <c r="E23" s="23">
        <f>SUM(E18:E22)</f>
        <v/>
      </c>
      <c r="F23" s="23">
        <f>SUM(F18:F22)</f>
        <v/>
      </c>
      <c r="G23" s="23">
        <f>SUM(G18:G22)</f>
        <v/>
      </c>
      <c r="H23" s="23">
        <f>SUM(H18:H22)</f>
        <v/>
      </c>
      <c r="I23" s="23">
        <f>SUM(I18:I22)</f>
        <v/>
      </c>
      <c r="J23" s="23">
        <f>SUM(J18:J22)</f>
        <v/>
      </c>
      <c r="K23" s="23">
        <f>SUM(K18:K22)</f>
        <v/>
      </c>
      <c r="L23" s="23">
        <f>SUM(L18:L22)</f>
        <v/>
      </c>
      <c r="M23" s="23">
        <f>SUM(M18:M22)</f>
        <v/>
      </c>
      <c r="N23" s="23">
        <f>SUM(N18:N22)</f>
        <v/>
      </c>
      <c r="O23" s="23">
        <f>SUM(O18:O22)</f>
        <v/>
      </c>
    </row>
    <row r="24">
      <c r="B24" t="inlineStr">
        <is>
          <t>Forecast OpEx % of sales</t>
        </is>
      </c>
      <c r="C24" s="29">
        <f>IF('02_Revenue_Build'!C48=0,0,C23/'02_Revenue_Build'!C48)</f>
        <v/>
      </c>
      <c r="D24" s="29">
        <f>IF('02_Revenue_Build'!D48=0,0,D23/'02_Revenue_Build'!D48)</f>
        <v/>
      </c>
      <c r="E24" s="29">
        <f>IF('02_Revenue_Build'!E48=0,0,E23/'02_Revenue_Build'!E48)</f>
        <v/>
      </c>
      <c r="F24" s="29">
        <f>IF('02_Revenue_Build'!F48=0,0,F23/'02_Revenue_Build'!F48)</f>
        <v/>
      </c>
      <c r="G24" s="29">
        <f>IF('02_Revenue_Build'!G48=0,0,G23/'02_Revenue_Build'!G48)</f>
        <v/>
      </c>
      <c r="H24" s="29">
        <f>IF('02_Revenue_Build'!H48=0,0,H23/'02_Revenue_Build'!H48)</f>
        <v/>
      </c>
      <c r="I24" s="29">
        <f>IF('02_Revenue_Build'!I48=0,0,I23/'02_Revenue_Build'!I48)</f>
        <v/>
      </c>
      <c r="J24" s="29">
        <f>IF('02_Revenue_Build'!J48=0,0,J23/'02_Revenue_Build'!J48)</f>
        <v/>
      </c>
      <c r="K24" s="29">
        <f>IF('02_Revenue_Build'!K48=0,0,K23/'02_Revenue_Build'!K48)</f>
        <v/>
      </c>
      <c r="L24" s="29">
        <f>IF('02_Revenue_Build'!L48=0,0,L23/'02_Revenue_Build'!L48)</f>
        <v/>
      </c>
      <c r="M24" s="29">
        <f>IF('02_Revenue_Build'!M48=0,0,M23/'02_Revenue_Build'!M48)</f>
        <v/>
      </c>
      <c r="N24" s="29">
        <f>IF('02_Revenue_Build'!N48=0,0,N23/'02_Revenue_Build'!N48)</f>
        <v/>
      </c>
      <c r="O24" s="29">
        <f>IF('02_Revenue_Build'!O48=0,0,O23/'02_Revenue_Build'!O48)</f>
        <v/>
      </c>
    </row>
    <row r="26">
      <c r="B26" s="8" t="inlineStr">
        <is>
          <t>VARIANCE (forecast − plan)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>
      <c r="C27" s="14" t="inlineStr">
        <is>
          <t>Jan-26</t>
        </is>
      </c>
      <c r="D27" s="14" t="inlineStr">
        <is>
          <t>Feb-26</t>
        </is>
      </c>
      <c r="E27" s="14" t="inlineStr">
        <is>
          <t>Mar-26</t>
        </is>
      </c>
      <c r="F27" s="14" t="inlineStr">
        <is>
          <t>Apr-26</t>
        </is>
      </c>
      <c r="G27" s="14" t="inlineStr">
        <is>
          <t>May-26</t>
        </is>
      </c>
      <c r="H27" s="14" t="inlineStr">
        <is>
          <t>Jun-26</t>
        </is>
      </c>
      <c r="I27" s="14" t="inlineStr">
        <is>
          <t>Jul-26</t>
        </is>
      </c>
      <c r="J27" s="14" t="inlineStr">
        <is>
          <t>Aug-26</t>
        </is>
      </c>
      <c r="K27" s="14" t="inlineStr">
        <is>
          <t>Sep-26</t>
        </is>
      </c>
      <c r="L27" s="14" t="inlineStr">
        <is>
          <t>Oct-26</t>
        </is>
      </c>
      <c r="M27" s="14" t="inlineStr">
        <is>
          <t>Nov-26</t>
        </is>
      </c>
      <c r="N27" s="14" t="inlineStr">
        <is>
          <t>Dec-26</t>
        </is>
      </c>
      <c r="O27" s="14" t="inlineStr">
        <is>
          <t>FY26</t>
        </is>
      </c>
    </row>
    <row r="28">
      <c r="B28" s="15" t="inlineStr">
        <is>
          <t>Selling</t>
        </is>
      </c>
      <c r="C28" s="28">
        <f>C18-C8</f>
        <v/>
      </c>
      <c r="D28" s="28">
        <f>D18-D8</f>
        <v/>
      </c>
      <c r="E28" s="28">
        <f>E18-E8</f>
        <v/>
      </c>
      <c r="F28" s="28">
        <f>F18-F8</f>
        <v/>
      </c>
      <c r="G28" s="28">
        <f>G18-G8</f>
        <v/>
      </c>
      <c r="H28" s="28">
        <f>H18-H8</f>
        <v/>
      </c>
      <c r="I28" s="28">
        <f>I18-I8</f>
        <v/>
      </c>
      <c r="J28" s="28">
        <f>J18-J8</f>
        <v/>
      </c>
      <c r="K28" s="28">
        <f>K18-K8</f>
        <v/>
      </c>
      <c r="L28" s="28">
        <f>L18-L8</f>
        <v/>
      </c>
      <c r="M28" s="28">
        <f>M18-M8</f>
        <v/>
      </c>
      <c r="N28" s="28">
        <f>N18-N8</f>
        <v/>
      </c>
      <c r="O28" s="28">
        <f>O18-O8</f>
        <v/>
      </c>
    </row>
    <row r="29">
      <c r="B29" s="15" t="inlineStr">
        <is>
          <t>Marketing</t>
        </is>
      </c>
      <c r="C29" s="28">
        <f>C19-C9</f>
        <v/>
      </c>
      <c r="D29" s="28">
        <f>D19-D9</f>
        <v/>
      </c>
      <c r="E29" s="28">
        <f>E19-E9</f>
        <v/>
      </c>
      <c r="F29" s="28">
        <f>F19-F9</f>
        <v/>
      </c>
      <c r="G29" s="28">
        <f>G19-G9</f>
        <v/>
      </c>
      <c r="H29" s="28">
        <f>H19-H9</f>
        <v/>
      </c>
      <c r="I29" s="28">
        <f>I19-I9</f>
        <v/>
      </c>
      <c r="J29" s="28">
        <f>J19-J9</f>
        <v/>
      </c>
      <c r="K29" s="28">
        <f>K19-K9</f>
        <v/>
      </c>
      <c r="L29" s="28">
        <f>L19-L9</f>
        <v/>
      </c>
      <c r="M29" s="28">
        <f>M19-M9</f>
        <v/>
      </c>
      <c r="N29" s="28">
        <f>N19-N9</f>
        <v/>
      </c>
      <c r="O29" s="28">
        <f>O19-O9</f>
        <v/>
      </c>
    </row>
    <row r="30">
      <c r="B30" s="15" t="inlineStr">
        <is>
          <t>Distribution</t>
        </is>
      </c>
      <c r="C30" s="28">
        <f>C20-C10</f>
        <v/>
      </c>
      <c r="D30" s="28">
        <f>D20-D10</f>
        <v/>
      </c>
      <c r="E30" s="28">
        <f>E20-E10</f>
        <v/>
      </c>
      <c r="F30" s="28">
        <f>F20-F10</f>
        <v/>
      </c>
      <c r="G30" s="28">
        <f>G20-G10</f>
        <v/>
      </c>
      <c r="H30" s="28">
        <f>H20-H10</f>
        <v/>
      </c>
      <c r="I30" s="28">
        <f>I20-I10</f>
        <v/>
      </c>
      <c r="J30" s="28">
        <f>J20-J10</f>
        <v/>
      </c>
      <c r="K30" s="28">
        <f>K20-K10</f>
        <v/>
      </c>
      <c r="L30" s="28">
        <f>L20-L10</f>
        <v/>
      </c>
      <c r="M30" s="28">
        <f>M20-M10</f>
        <v/>
      </c>
      <c r="N30" s="28">
        <f>N20-N10</f>
        <v/>
      </c>
      <c r="O30" s="28">
        <f>O20-O10</f>
        <v/>
      </c>
    </row>
    <row r="31">
      <c r="B31" s="15" t="inlineStr">
        <is>
          <t>G&amp;A</t>
        </is>
      </c>
      <c r="C31" s="28">
        <f>C21-C11</f>
        <v/>
      </c>
      <c r="D31" s="28">
        <f>D21-D11</f>
        <v/>
      </c>
      <c r="E31" s="28">
        <f>E21-E11</f>
        <v/>
      </c>
      <c r="F31" s="28">
        <f>F21-F11</f>
        <v/>
      </c>
      <c r="G31" s="28">
        <f>G21-G11</f>
        <v/>
      </c>
      <c r="H31" s="28">
        <f>H21-H11</f>
        <v/>
      </c>
      <c r="I31" s="28">
        <f>I21-I11</f>
        <v/>
      </c>
      <c r="J31" s="28">
        <f>J21-J11</f>
        <v/>
      </c>
      <c r="K31" s="28">
        <f>K21-K11</f>
        <v/>
      </c>
      <c r="L31" s="28">
        <f>L21-L11</f>
        <v/>
      </c>
      <c r="M31" s="28">
        <f>M21-M11</f>
        <v/>
      </c>
      <c r="N31" s="28">
        <f>N21-N11</f>
        <v/>
      </c>
      <c r="O31" s="28">
        <f>O21-O11</f>
        <v/>
      </c>
    </row>
    <row r="32">
      <c r="B32" s="15" t="inlineStr">
        <is>
          <t>R&amp;D</t>
        </is>
      </c>
      <c r="C32" s="28">
        <f>C22-C12</f>
        <v/>
      </c>
      <c r="D32" s="28">
        <f>D22-D12</f>
        <v/>
      </c>
      <c r="E32" s="28">
        <f>E22-E12</f>
        <v/>
      </c>
      <c r="F32" s="28">
        <f>F22-F12</f>
        <v/>
      </c>
      <c r="G32" s="28">
        <f>G22-G12</f>
        <v/>
      </c>
      <c r="H32" s="28">
        <f>H22-H12</f>
        <v/>
      </c>
      <c r="I32" s="28">
        <f>I22-I12</f>
        <v/>
      </c>
      <c r="J32" s="28">
        <f>J22-J12</f>
        <v/>
      </c>
      <c r="K32" s="28">
        <f>K22-K12</f>
        <v/>
      </c>
      <c r="L32" s="28">
        <f>L22-L12</f>
        <v/>
      </c>
      <c r="M32" s="28">
        <f>M22-M12</f>
        <v/>
      </c>
      <c r="N32" s="28">
        <f>N22-N12</f>
        <v/>
      </c>
      <c r="O32" s="28">
        <f>O22-O12</f>
        <v/>
      </c>
    </row>
    <row r="33">
      <c r="B33" s="18" t="inlineStr">
        <is>
          <t>Total OpEx</t>
        </is>
      </c>
      <c r="C33" s="23">
        <f>C23-C13</f>
        <v/>
      </c>
      <c r="D33" s="23">
        <f>D23-D13</f>
        <v/>
      </c>
      <c r="E33" s="23">
        <f>E23-E13</f>
        <v/>
      </c>
      <c r="F33" s="23">
        <f>F23-F13</f>
        <v/>
      </c>
      <c r="G33" s="23">
        <f>G23-G13</f>
        <v/>
      </c>
      <c r="H33" s="23">
        <f>H23-H13</f>
        <v/>
      </c>
      <c r="I33" s="23">
        <f>I23-I13</f>
        <v/>
      </c>
      <c r="J33" s="23">
        <f>J23-J13</f>
        <v/>
      </c>
      <c r="K33" s="23">
        <f>K23-K13</f>
        <v/>
      </c>
      <c r="L33" s="23">
        <f>L23-L13</f>
        <v/>
      </c>
      <c r="M33" s="23">
        <f>M23-M13</f>
        <v/>
      </c>
      <c r="N33" s="23">
        <f>N23-N13</f>
        <v/>
      </c>
      <c r="O33" s="23">
        <f>O23-O13</f>
        <v/>
      </c>
    </row>
    <row r="35">
      <c r="B35" s="12" t="inlineStr">
        <is>
          <t>Distribution $ per case × 000 cases = $000s. Discretionary factor (Assumptions C10) applies to forecast marketing campaigns and R&amp;D only.</t>
        </is>
      </c>
    </row>
  </sheetData>
  <pageMargins left="0.75" right="0.75" top="1" bottom="1" header="0.5" footer="0.5"/>
  <pageSetup orientation="landscape" paperSize="3" fitToHeight="0" fitToWidth="1"/>
  <headerFooter>
    <oddHeader/>
    <oddFooter>&amp;LNorthline Consumer Products  |  fictional sample  |  $000s&amp;RPage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B2:R5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3" customWidth="1" min="16" max="16"/>
    <col width="12" customWidth="1" min="17" max="17"/>
    <col width="11" customWidth="1" min="18" max="18"/>
  </cols>
  <sheetData>
    <row r="2">
      <c r="B2" s="1" t="inlineStr">
        <is>
          <t>P&amp;L forecast — 12 months</t>
        </is>
      </c>
    </row>
    <row r="3">
      <c r="B3" s="3" t="inlineStr">
        <is>
          <t>Main grid is the latest-view forecast (scenario applied). Right-hand columns compare FY forecast vs FY plan.</t>
        </is>
      </c>
    </row>
    <row r="4">
      <c r="B4" t="inlineStr">
        <is>
          <t>Scenario</t>
        </is>
      </c>
      <c r="C4" s="11">
        <f>'01_Assumptions'!D6</f>
        <v/>
      </c>
    </row>
    <row r="6">
      <c r="B6" s="8" t="inlineStr">
        <is>
          <t>Forecast P&amp;L ($000s)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>
      <c r="C7" s="14" t="inlineStr">
        <is>
          <t>Jan-26</t>
        </is>
      </c>
      <c r="D7" s="14" t="inlineStr">
        <is>
          <t>Feb-26</t>
        </is>
      </c>
      <c r="E7" s="14" t="inlineStr">
        <is>
          <t>Mar-26</t>
        </is>
      </c>
      <c r="F7" s="14" t="inlineStr">
        <is>
          <t>Apr-26</t>
        </is>
      </c>
      <c r="G7" s="14" t="inlineStr">
        <is>
          <t>May-26</t>
        </is>
      </c>
      <c r="H7" s="14" t="inlineStr">
        <is>
          <t>Jun-26</t>
        </is>
      </c>
      <c r="I7" s="14" t="inlineStr">
        <is>
          <t>Jul-26</t>
        </is>
      </c>
      <c r="J7" s="14" t="inlineStr">
        <is>
          <t>Aug-26</t>
        </is>
      </c>
      <c r="K7" s="14" t="inlineStr">
        <is>
          <t>Sep-26</t>
        </is>
      </c>
      <c r="L7" s="14" t="inlineStr">
        <is>
          <t>Oct-26</t>
        </is>
      </c>
      <c r="M7" s="14" t="inlineStr">
        <is>
          <t>Nov-26</t>
        </is>
      </c>
      <c r="N7" s="14" t="inlineStr">
        <is>
          <t>Dec-26</t>
        </is>
      </c>
      <c r="O7" s="14" t="inlineStr">
        <is>
          <t>FY Fcst</t>
        </is>
      </c>
      <c r="P7" s="14" t="inlineStr">
        <is>
          <t>FY Plan</t>
        </is>
      </c>
      <c r="Q7" s="14" t="inlineStr">
        <is>
          <t>Var</t>
        </is>
      </c>
      <c r="R7" s="14" t="inlineStr">
        <is>
          <t>Var %</t>
        </is>
      </c>
    </row>
    <row r="8">
      <c r="B8" s="18" t="inlineStr">
        <is>
          <t>Net revenue</t>
        </is>
      </c>
      <c r="C8" s="23">
        <f>'02_Revenue_Build'!C48</f>
        <v/>
      </c>
      <c r="D8" s="23">
        <f>'02_Revenue_Build'!D48</f>
        <v/>
      </c>
      <c r="E8" s="23">
        <f>'02_Revenue_Build'!E48</f>
        <v/>
      </c>
      <c r="F8" s="23">
        <f>'02_Revenue_Build'!F48</f>
        <v/>
      </c>
      <c r="G8" s="23">
        <f>'02_Revenue_Build'!G48</f>
        <v/>
      </c>
      <c r="H8" s="23">
        <f>'02_Revenue_Build'!H48</f>
        <v/>
      </c>
      <c r="I8" s="23">
        <f>'02_Revenue_Build'!I48</f>
        <v/>
      </c>
      <c r="J8" s="23">
        <f>'02_Revenue_Build'!J48</f>
        <v/>
      </c>
      <c r="K8" s="23">
        <f>'02_Revenue_Build'!K48</f>
        <v/>
      </c>
      <c r="L8" s="23">
        <f>'02_Revenue_Build'!L48</f>
        <v/>
      </c>
      <c r="M8" s="23">
        <f>'02_Revenue_Build'!M48</f>
        <v/>
      </c>
      <c r="N8" s="23">
        <f>'02_Revenue_Build'!N48</f>
        <v/>
      </c>
      <c r="O8" s="23">
        <f>SUM(C8:N8)</f>
        <v/>
      </c>
      <c r="P8" s="28">
        <f>'02_Revenue_Build'!O23</f>
        <v/>
      </c>
      <c r="Q8" s="23">
        <f>O8-P8</f>
        <v/>
      </c>
      <c r="R8" s="29">
        <f>IF(P8=0,0,Q8/P8)</f>
        <v/>
      </c>
    </row>
    <row r="9">
      <c r="B9" s="33" t="inlineStr">
        <is>
          <t>COGS</t>
        </is>
      </c>
      <c r="C9" s="28">
        <f>'03_COGS_Build'!C32</f>
        <v/>
      </c>
      <c r="D9" s="28">
        <f>'03_COGS_Build'!D32</f>
        <v/>
      </c>
      <c r="E9" s="28">
        <f>'03_COGS_Build'!E32</f>
        <v/>
      </c>
      <c r="F9" s="28">
        <f>'03_COGS_Build'!F32</f>
        <v/>
      </c>
      <c r="G9" s="28">
        <f>'03_COGS_Build'!G32</f>
        <v/>
      </c>
      <c r="H9" s="28">
        <f>'03_COGS_Build'!H32</f>
        <v/>
      </c>
      <c r="I9" s="28">
        <f>'03_COGS_Build'!I32</f>
        <v/>
      </c>
      <c r="J9" s="28">
        <f>'03_COGS_Build'!J32</f>
        <v/>
      </c>
      <c r="K9" s="28">
        <f>'03_COGS_Build'!K32</f>
        <v/>
      </c>
      <c r="L9" s="28">
        <f>'03_COGS_Build'!L32</f>
        <v/>
      </c>
      <c r="M9" s="28">
        <f>'03_COGS_Build'!M32</f>
        <v/>
      </c>
      <c r="N9" s="28">
        <f>'03_COGS_Build'!N32</f>
        <v/>
      </c>
      <c r="O9" s="23">
        <f>SUM(C9:N9)</f>
        <v/>
      </c>
      <c r="P9" s="28">
        <f>'03_COGS_Build'!O17</f>
        <v/>
      </c>
      <c r="Q9" s="28">
        <f>O9-P9</f>
        <v/>
      </c>
      <c r="R9" s="29">
        <f>IF(P9=0,0,Q9/P9)</f>
        <v/>
      </c>
    </row>
    <row r="10">
      <c r="B10" s="18" t="inlineStr">
        <is>
          <t>Gross profit</t>
        </is>
      </c>
      <c r="C10" s="23">
        <f>C8-C9</f>
        <v/>
      </c>
      <c r="D10" s="23">
        <f>D8-D9</f>
        <v/>
      </c>
      <c r="E10" s="23">
        <f>E8-E9</f>
        <v/>
      </c>
      <c r="F10" s="23">
        <f>F8-F9</f>
        <v/>
      </c>
      <c r="G10" s="23">
        <f>G8-G9</f>
        <v/>
      </c>
      <c r="H10" s="23">
        <f>H8-H9</f>
        <v/>
      </c>
      <c r="I10" s="23">
        <f>I8-I9</f>
        <v/>
      </c>
      <c r="J10" s="23">
        <f>J8-J9</f>
        <v/>
      </c>
      <c r="K10" s="23">
        <f>K8-K9</f>
        <v/>
      </c>
      <c r="L10" s="23">
        <f>L8-L9</f>
        <v/>
      </c>
      <c r="M10" s="23">
        <f>M8-M9</f>
        <v/>
      </c>
      <c r="N10" s="23">
        <f>N8-N9</f>
        <v/>
      </c>
      <c r="O10" s="23">
        <f>SUM(C10:N10)</f>
        <v/>
      </c>
      <c r="P10" s="28">
        <f>P8-P9</f>
        <v/>
      </c>
      <c r="Q10" s="23">
        <f>O10-P10</f>
        <v/>
      </c>
      <c r="R10" s="29">
        <f>IF(P10=0,0,Q10/P10)</f>
        <v/>
      </c>
    </row>
    <row r="11">
      <c r="B11" s="34" t="inlineStr">
        <is>
          <t>Gross margin %</t>
        </is>
      </c>
      <c r="C11" s="35">
        <f>IF(C8=0,0,C10/C8)</f>
        <v/>
      </c>
      <c r="D11" s="35">
        <f>IF(D8=0,0,D10/D8)</f>
        <v/>
      </c>
      <c r="E11" s="35">
        <f>IF(E8=0,0,E10/E8)</f>
        <v/>
      </c>
      <c r="F11" s="35">
        <f>IF(F8=0,0,F10/F8)</f>
        <v/>
      </c>
      <c r="G11" s="35">
        <f>IF(G8=0,0,G10/G8)</f>
        <v/>
      </c>
      <c r="H11" s="35">
        <f>IF(H8=0,0,H10/H8)</f>
        <v/>
      </c>
      <c r="I11" s="35">
        <f>IF(I8=0,0,I10/I8)</f>
        <v/>
      </c>
      <c r="J11" s="35">
        <f>IF(J8=0,0,J10/J8)</f>
        <v/>
      </c>
      <c r="K11" s="35">
        <f>IF(K8=0,0,K10/K8)</f>
        <v/>
      </c>
      <c r="L11" s="35">
        <f>IF(L8=0,0,L10/L8)</f>
        <v/>
      </c>
      <c r="M11" s="35">
        <f>IF(M8=0,0,M10/M8)</f>
        <v/>
      </c>
      <c r="N11" s="35">
        <f>IF(N8=0,0,N10/N8)</f>
        <v/>
      </c>
      <c r="O11" s="29">
        <f>IF(O8=0,0,O10/O8)</f>
        <v/>
      </c>
      <c r="P11" s="29">
        <f>IF(P8=0,0,P10/P8)</f>
        <v/>
      </c>
      <c r="Q11" s="29">
        <f>O11-P11</f>
        <v/>
      </c>
      <c r="R11" s="36">
        <f>"n/a"</f>
        <v/>
      </c>
    </row>
    <row r="12">
      <c r="B12" s="33" t="inlineStr">
        <is>
          <t>Selling</t>
        </is>
      </c>
      <c r="C12" s="28">
        <f>'04_OpEx'!C18</f>
        <v/>
      </c>
      <c r="D12" s="28">
        <f>'04_OpEx'!D18</f>
        <v/>
      </c>
      <c r="E12" s="28">
        <f>'04_OpEx'!E18</f>
        <v/>
      </c>
      <c r="F12" s="28">
        <f>'04_OpEx'!F18</f>
        <v/>
      </c>
      <c r="G12" s="28">
        <f>'04_OpEx'!G18</f>
        <v/>
      </c>
      <c r="H12" s="28">
        <f>'04_OpEx'!H18</f>
        <v/>
      </c>
      <c r="I12" s="28">
        <f>'04_OpEx'!I18</f>
        <v/>
      </c>
      <c r="J12" s="28">
        <f>'04_OpEx'!J18</f>
        <v/>
      </c>
      <c r="K12" s="28">
        <f>'04_OpEx'!K18</f>
        <v/>
      </c>
      <c r="L12" s="28">
        <f>'04_OpEx'!L18</f>
        <v/>
      </c>
      <c r="M12" s="28">
        <f>'04_OpEx'!M18</f>
        <v/>
      </c>
      <c r="N12" s="28">
        <f>'04_OpEx'!N18</f>
        <v/>
      </c>
      <c r="O12" s="23">
        <f>SUM(C12:N12)</f>
        <v/>
      </c>
      <c r="P12" s="28">
        <f>'04_OpEx'!O8</f>
        <v/>
      </c>
      <c r="Q12" s="28">
        <f>O12-P12</f>
        <v/>
      </c>
      <c r="R12" s="29">
        <f>IF(P12=0,0,Q12/P12)</f>
        <v/>
      </c>
    </row>
    <row r="13">
      <c r="B13" s="33" t="inlineStr">
        <is>
          <t>Marketing</t>
        </is>
      </c>
      <c r="C13" s="28">
        <f>'04_OpEx'!C19</f>
        <v/>
      </c>
      <c r="D13" s="28">
        <f>'04_OpEx'!D19</f>
        <v/>
      </c>
      <c r="E13" s="28">
        <f>'04_OpEx'!E19</f>
        <v/>
      </c>
      <c r="F13" s="28">
        <f>'04_OpEx'!F19</f>
        <v/>
      </c>
      <c r="G13" s="28">
        <f>'04_OpEx'!G19</f>
        <v/>
      </c>
      <c r="H13" s="28">
        <f>'04_OpEx'!H19</f>
        <v/>
      </c>
      <c r="I13" s="28">
        <f>'04_OpEx'!I19</f>
        <v/>
      </c>
      <c r="J13" s="28">
        <f>'04_OpEx'!J19</f>
        <v/>
      </c>
      <c r="K13" s="28">
        <f>'04_OpEx'!K19</f>
        <v/>
      </c>
      <c r="L13" s="28">
        <f>'04_OpEx'!L19</f>
        <v/>
      </c>
      <c r="M13" s="28">
        <f>'04_OpEx'!M19</f>
        <v/>
      </c>
      <c r="N13" s="28">
        <f>'04_OpEx'!N19</f>
        <v/>
      </c>
      <c r="O13" s="23">
        <f>SUM(C13:N13)</f>
        <v/>
      </c>
      <c r="P13" s="28">
        <f>'04_OpEx'!O9</f>
        <v/>
      </c>
      <c r="Q13" s="28">
        <f>O13-P13</f>
        <v/>
      </c>
      <c r="R13" s="29">
        <f>IF(P13=0,0,Q13/P13)</f>
        <v/>
      </c>
    </row>
    <row r="14">
      <c r="B14" s="33" t="inlineStr">
        <is>
          <t>Distribution</t>
        </is>
      </c>
      <c r="C14" s="28">
        <f>'04_OpEx'!C20</f>
        <v/>
      </c>
      <c r="D14" s="28">
        <f>'04_OpEx'!D20</f>
        <v/>
      </c>
      <c r="E14" s="28">
        <f>'04_OpEx'!E20</f>
        <v/>
      </c>
      <c r="F14" s="28">
        <f>'04_OpEx'!F20</f>
        <v/>
      </c>
      <c r="G14" s="28">
        <f>'04_OpEx'!G20</f>
        <v/>
      </c>
      <c r="H14" s="28">
        <f>'04_OpEx'!H20</f>
        <v/>
      </c>
      <c r="I14" s="28">
        <f>'04_OpEx'!I20</f>
        <v/>
      </c>
      <c r="J14" s="28">
        <f>'04_OpEx'!J20</f>
        <v/>
      </c>
      <c r="K14" s="28">
        <f>'04_OpEx'!K20</f>
        <v/>
      </c>
      <c r="L14" s="28">
        <f>'04_OpEx'!L20</f>
        <v/>
      </c>
      <c r="M14" s="28">
        <f>'04_OpEx'!M20</f>
        <v/>
      </c>
      <c r="N14" s="28">
        <f>'04_OpEx'!N20</f>
        <v/>
      </c>
      <c r="O14" s="23">
        <f>SUM(C14:N14)</f>
        <v/>
      </c>
      <c r="P14" s="28">
        <f>'04_OpEx'!O10</f>
        <v/>
      </c>
      <c r="Q14" s="28">
        <f>O14-P14</f>
        <v/>
      </c>
      <c r="R14" s="29">
        <f>IF(P14=0,0,Q14/P14)</f>
        <v/>
      </c>
    </row>
    <row r="15">
      <c r="B15" s="33" t="inlineStr">
        <is>
          <t>G&amp;A</t>
        </is>
      </c>
      <c r="C15" s="28">
        <f>'04_OpEx'!C21</f>
        <v/>
      </c>
      <c r="D15" s="28">
        <f>'04_OpEx'!D21</f>
        <v/>
      </c>
      <c r="E15" s="28">
        <f>'04_OpEx'!E21</f>
        <v/>
      </c>
      <c r="F15" s="28">
        <f>'04_OpEx'!F21</f>
        <v/>
      </c>
      <c r="G15" s="28">
        <f>'04_OpEx'!G21</f>
        <v/>
      </c>
      <c r="H15" s="28">
        <f>'04_OpEx'!H21</f>
        <v/>
      </c>
      <c r="I15" s="28">
        <f>'04_OpEx'!I21</f>
        <v/>
      </c>
      <c r="J15" s="28">
        <f>'04_OpEx'!J21</f>
        <v/>
      </c>
      <c r="K15" s="28">
        <f>'04_OpEx'!K21</f>
        <v/>
      </c>
      <c r="L15" s="28">
        <f>'04_OpEx'!L21</f>
        <v/>
      </c>
      <c r="M15" s="28">
        <f>'04_OpEx'!M21</f>
        <v/>
      </c>
      <c r="N15" s="28">
        <f>'04_OpEx'!N21</f>
        <v/>
      </c>
      <c r="O15" s="23">
        <f>SUM(C15:N15)</f>
        <v/>
      </c>
      <c r="P15" s="28">
        <f>'04_OpEx'!O11</f>
        <v/>
      </c>
      <c r="Q15" s="28">
        <f>O15-P15</f>
        <v/>
      </c>
      <c r="R15" s="29">
        <f>IF(P15=0,0,Q15/P15)</f>
        <v/>
      </c>
    </row>
    <row r="16">
      <c r="B16" s="33" t="inlineStr">
        <is>
          <t>R&amp;D</t>
        </is>
      </c>
      <c r="C16" s="28">
        <f>'04_OpEx'!C22</f>
        <v/>
      </c>
      <c r="D16" s="28">
        <f>'04_OpEx'!D22</f>
        <v/>
      </c>
      <c r="E16" s="28">
        <f>'04_OpEx'!E22</f>
        <v/>
      </c>
      <c r="F16" s="28">
        <f>'04_OpEx'!F22</f>
        <v/>
      </c>
      <c r="G16" s="28">
        <f>'04_OpEx'!G22</f>
        <v/>
      </c>
      <c r="H16" s="28">
        <f>'04_OpEx'!H22</f>
        <v/>
      </c>
      <c r="I16" s="28">
        <f>'04_OpEx'!I22</f>
        <v/>
      </c>
      <c r="J16" s="28">
        <f>'04_OpEx'!J22</f>
        <v/>
      </c>
      <c r="K16" s="28">
        <f>'04_OpEx'!K22</f>
        <v/>
      </c>
      <c r="L16" s="28">
        <f>'04_OpEx'!L22</f>
        <v/>
      </c>
      <c r="M16" s="28">
        <f>'04_OpEx'!M22</f>
        <v/>
      </c>
      <c r="N16" s="28">
        <f>'04_OpEx'!N22</f>
        <v/>
      </c>
      <c r="O16" s="23">
        <f>SUM(C16:N16)</f>
        <v/>
      </c>
      <c r="P16" s="28">
        <f>'04_OpEx'!O12</f>
        <v/>
      </c>
      <c r="Q16" s="28">
        <f>O16-P16</f>
        <v/>
      </c>
      <c r="R16" s="29">
        <f>IF(P16=0,0,Q16/P16)</f>
        <v/>
      </c>
    </row>
    <row r="17">
      <c r="B17" s="18" t="inlineStr">
        <is>
          <t>Total OpEx</t>
        </is>
      </c>
      <c r="C17" s="23">
        <f>'04_OpEx'!C23</f>
        <v/>
      </c>
      <c r="D17" s="23">
        <f>'04_OpEx'!D23</f>
        <v/>
      </c>
      <c r="E17" s="23">
        <f>'04_OpEx'!E23</f>
        <v/>
      </c>
      <c r="F17" s="23">
        <f>'04_OpEx'!F23</f>
        <v/>
      </c>
      <c r="G17" s="23">
        <f>'04_OpEx'!G23</f>
        <v/>
      </c>
      <c r="H17" s="23">
        <f>'04_OpEx'!H23</f>
        <v/>
      </c>
      <c r="I17" s="23">
        <f>'04_OpEx'!I23</f>
        <v/>
      </c>
      <c r="J17" s="23">
        <f>'04_OpEx'!J23</f>
        <v/>
      </c>
      <c r="K17" s="23">
        <f>'04_OpEx'!K23</f>
        <v/>
      </c>
      <c r="L17" s="23">
        <f>'04_OpEx'!L23</f>
        <v/>
      </c>
      <c r="M17" s="23">
        <f>'04_OpEx'!M23</f>
        <v/>
      </c>
      <c r="N17" s="23">
        <f>'04_OpEx'!N23</f>
        <v/>
      </c>
      <c r="O17" s="23">
        <f>SUM(C17:N17)</f>
        <v/>
      </c>
      <c r="P17" s="28">
        <f>'04_OpEx'!O13</f>
        <v/>
      </c>
      <c r="Q17" s="23">
        <f>O17-P17</f>
        <v/>
      </c>
      <c r="R17" s="29">
        <f>IF(P17=0,0,Q17/P17)</f>
        <v/>
      </c>
    </row>
    <row r="18">
      <c r="B18" s="18" t="inlineStr">
        <is>
          <t>EBITDA</t>
        </is>
      </c>
      <c r="C18" s="23">
        <f>C10-C17</f>
        <v/>
      </c>
      <c r="D18" s="23">
        <f>D10-D17</f>
        <v/>
      </c>
      <c r="E18" s="23">
        <f>E10-E17</f>
        <v/>
      </c>
      <c r="F18" s="23">
        <f>F10-F17</f>
        <v/>
      </c>
      <c r="G18" s="23">
        <f>G10-G17</f>
        <v/>
      </c>
      <c r="H18" s="23">
        <f>H10-H17</f>
        <v/>
      </c>
      <c r="I18" s="23">
        <f>I10-I17</f>
        <v/>
      </c>
      <c r="J18" s="23">
        <f>J10-J17</f>
        <v/>
      </c>
      <c r="K18" s="23">
        <f>K10-K17</f>
        <v/>
      </c>
      <c r="L18" s="23">
        <f>L10-L17</f>
        <v/>
      </c>
      <c r="M18" s="23">
        <f>M10-M17</f>
        <v/>
      </c>
      <c r="N18" s="23">
        <f>N10-N17</f>
        <v/>
      </c>
      <c r="O18" s="23">
        <f>SUM(C18:N18)</f>
        <v/>
      </c>
      <c r="P18" s="28">
        <f>P10-P17</f>
        <v/>
      </c>
      <c r="Q18" s="23">
        <f>O18-P18</f>
        <v/>
      </c>
      <c r="R18" s="29">
        <f>IF(P18=0,0,Q18/P18)</f>
        <v/>
      </c>
    </row>
    <row r="19">
      <c r="B19" s="34" t="inlineStr">
        <is>
          <t>EBITDA %</t>
        </is>
      </c>
      <c r="C19" s="35">
        <f>IF(C8=0,0,C18/C8)</f>
        <v/>
      </c>
      <c r="D19" s="35">
        <f>IF(D8=0,0,D18/D8)</f>
        <v/>
      </c>
      <c r="E19" s="35">
        <f>IF(E8=0,0,E18/E8)</f>
        <v/>
      </c>
      <c r="F19" s="35">
        <f>IF(F8=0,0,F18/F8)</f>
        <v/>
      </c>
      <c r="G19" s="35">
        <f>IF(G8=0,0,G18/G8)</f>
        <v/>
      </c>
      <c r="H19" s="35">
        <f>IF(H8=0,0,H18/H8)</f>
        <v/>
      </c>
      <c r="I19" s="35">
        <f>IF(I8=0,0,I18/I8)</f>
        <v/>
      </c>
      <c r="J19" s="35">
        <f>IF(J8=0,0,J18/J8)</f>
        <v/>
      </c>
      <c r="K19" s="35">
        <f>IF(K8=0,0,K18/K8)</f>
        <v/>
      </c>
      <c r="L19" s="35">
        <f>IF(L8=0,0,L18/L8)</f>
        <v/>
      </c>
      <c r="M19" s="35">
        <f>IF(M8=0,0,M18/M8)</f>
        <v/>
      </c>
      <c r="N19" s="35">
        <f>IF(N8=0,0,N18/N8)</f>
        <v/>
      </c>
      <c r="O19" s="29">
        <f>IF(O8=0,0,O18/O8)</f>
        <v/>
      </c>
      <c r="P19" s="29">
        <f>IF(P8=0,0,P18/P8)</f>
        <v/>
      </c>
      <c r="Q19" s="29">
        <f>O19-P19</f>
        <v/>
      </c>
      <c r="R19" s="36">
        <f>"n/a"</f>
        <v/>
      </c>
    </row>
    <row r="20">
      <c r="B20" s="33" t="inlineStr">
        <is>
          <t>D&amp;A</t>
        </is>
      </c>
      <c r="C20" s="28">
        <f>'01_Assumptions'!$C$21*C8</f>
        <v/>
      </c>
      <c r="D20" s="28">
        <f>'01_Assumptions'!$C$21*D8</f>
        <v/>
      </c>
      <c r="E20" s="28">
        <f>'01_Assumptions'!$C$21*E8</f>
        <v/>
      </c>
      <c r="F20" s="28">
        <f>'01_Assumptions'!$C$21*F8</f>
        <v/>
      </c>
      <c r="G20" s="28">
        <f>'01_Assumptions'!$C$21*G8</f>
        <v/>
      </c>
      <c r="H20" s="28">
        <f>'01_Assumptions'!$C$21*H8</f>
        <v/>
      </c>
      <c r="I20" s="28">
        <f>'01_Assumptions'!$C$21*I8</f>
        <v/>
      </c>
      <c r="J20" s="28">
        <f>'01_Assumptions'!$C$21*J8</f>
        <v/>
      </c>
      <c r="K20" s="28">
        <f>'01_Assumptions'!$C$21*K8</f>
        <v/>
      </c>
      <c r="L20" s="28">
        <f>'01_Assumptions'!$C$21*L8</f>
        <v/>
      </c>
      <c r="M20" s="28">
        <f>'01_Assumptions'!$C$21*M8</f>
        <v/>
      </c>
      <c r="N20" s="28">
        <f>'01_Assumptions'!$C$21*N8</f>
        <v/>
      </c>
      <c r="O20" s="23">
        <f>SUM(C20:N20)</f>
        <v/>
      </c>
      <c r="P20" s="28">
        <f>'01_Assumptions'!$C$21*P8</f>
        <v/>
      </c>
      <c r="Q20" s="28">
        <f>O20-P20</f>
        <v/>
      </c>
      <c r="R20" s="29">
        <f>IF(P20=0,0,Q20/P20)</f>
        <v/>
      </c>
    </row>
    <row r="21">
      <c r="B21" s="18" t="inlineStr">
        <is>
          <t>EBIT</t>
        </is>
      </c>
      <c r="C21" s="23">
        <f>C18-C20</f>
        <v/>
      </c>
      <c r="D21" s="23">
        <f>D18-D20</f>
        <v/>
      </c>
      <c r="E21" s="23">
        <f>E18-E20</f>
        <v/>
      </c>
      <c r="F21" s="23">
        <f>F18-F20</f>
        <v/>
      </c>
      <c r="G21" s="23">
        <f>G18-G20</f>
        <v/>
      </c>
      <c r="H21" s="23">
        <f>H18-H20</f>
        <v/>
      </c>
      <c r="I21" s="23">
        <f>I18-I20</f>
        <v/>
      </c>
      <c r="J21" s="23">
        <f>J18-J20</f>
        <v/>
      </c>
      <c r="K21" s="23">
        <f>K18-K20</f>
        <v/>
      </c>
      <c r="L21" s="23">
        <f>L18-L20</f>
        <v/>
      </c>
      <c r="M21" s="23">
        <f>M18-M20</f>
        <v/>
      </c>
      <c r="N21" s="23">
        <f>N18-N20</f>
        <v/>
      </c>
      <c r="O21" s="23">
        <f>SUM(C21:N21)</f>
        <v/>
      </c>
      <c r="P21" s="28">
        <f>P18-P20</f>
        <v/>
      </c>
      <c r="Q21" s="23">
        <f>O21-P21</f>
        <v/>
      </c>
      <c r="R21" s="29">
        <f>IF(P21=0,0,Q21/P21)</f>
        <v/>
      </c>
    </row>
    <row r="22">
      <c r="B22" s="33" t="inlineStr">
        <is>
          <t>Tax</t>
        </is>
      </c>
      <c r="C22" s="28">
        <f>'01_Assumptions'!$C$20*C21</f>
        <v/>
      </c>
      <c r="D22" s="28">
        <f>'01_Assumptions'!$C$20*D21</f>
        <v/>
      </c>
      <c r="E22" s="28">
        <f>'01_Assumptions'!$C$20*E21</f>
        <v/>
      </c>
      <c r="F22" s="28">
        <f>'01_Assumptions'!$C$20*F21</f>
        <v/>
      </c>
      <c r="G22" s="28">
        <f>'01_Assumptions'!$C$20*G21</f>
        <v/>
      </c>
      <c r="H22" s="28">
        <f>'01_Assumptions'!$C$20*H21</f>
        <v/>
      </c>
      <c r="I22" s="28">
        <f>'01_Assumptions'!$C$20*I21</f>
        <v/>
      </c>
      <c r="J22" s="28">
        <f>'01_Assumptions'!$C$20*J21</f>
        <v/>
      </c>
      <c r="K22" s="28">
        <f>'01_Assumptions'!$C$20*K21</f>
        <v/>
      </c>
      <c r="L22" s="28">
        <f>'01_Assumptions'!$C$20*L21</f>
        <v/>
      </c>
      <c r="M22" s="28">
        <f>'01_Assumptions'!$C$20*M21</f>
        <v/>
      </c>
      <c r="N22" s="28">
        <f>'01_Assumptions'!$C$20*N21</f>
        <v/>
      </c>
      <c r="O22" s="23">
        <f>SUM(C22:N22)</f>
        <v/>
      </c>
      <c r="P22" s="28">
        <f>'01_Assumptions'!$C$20*P21</f>
        <v/>
      </c>
      <c r="Q22" s="28">
        <f>O22-P22</f>
        <v/>
      </c>
      <c r="R22" s="29">
        <f>IF(P22=0,0,Q22/P22)</f>
        <v/>
      </c>
    </row>
    <row r="23">
      <c r="B23" s="18" t="inlineStr">
        <is>
          <t>Net income</t>
        </is>
      </c>
      <c r="C23" s="23">
        <f>C21-C22</f>
        <v/>
      </c>
      <c r="D23" s="23">
        <f>D21-D22</f>
        <v/>
      </c>
      <c r="E23" s="23">
        <f>E21-E22</f>
        <v/>
      </c>
      <c r="F23" s="23">
        <f>F21-F22</f>
        <v/>
      </c>
      <c r="G23" s="23">
        <f>G21-G22</f>
        <v/>
      </c>
      <c r="H23" s="23">
        <f>H21-H22</f>
        <v/>
      </c>
      <c r="I23" s="23">
        <f>I21-I22</f>
        <v/>
      </c>
      <c r="J23" s="23">
        <f>J21-J22</f>
        <v/>
      </c>
      <c r="K23" s="23">
        <f>K21-K22</f>
        <v/>
      </c>
      <c r="L23" s="23">
        <f>L21-L22</f>
        <v/>
      </c>
      <c r="M23" s="23">
        <f>M21-M22</f>
        <v/>
      </c>
      <c r="N23" s="23">
        <f>N21-N22</f>
        <v/>
      </c>
      <c r="O23" s="23">
        <f>SUM(C23:N23)</f>
        <v/>
      </c>
      <c r="P23" s="28">
        <f>P21-P22</f>
        <v/>
      </c>
      <c r="Q23" s="23">
        <f>O23-P23</f>
        <v/>
      </c>
      <c r="R23" s="29">
        <f>IF(P23=0,0,Q23/P23)</f>
        <v/>
      </c>
    </row>
    <row r="24">
      <c r="B24" s="34" t="inlineStr">
        <is>
          <t>Net income %</t>
        </is>
      </c>
      <c r="C24" s="35">
        <f>IF(C8=0,0,C23/C8)</f>
        <v/>
      </c>
      <c r="D24" s="35">
        <f>IF(D8=0,0,D23/D8)</f>
        <v/>
      </c>
      <c r="E24" s="35">
        <f>IF(E8=0,0,E23/E8)</f>
        <v/>
      </c>
      <c r="F24" s="35">
        <f>IF(F8=0,0,F23/F8)</f>
        <v/>
      </c>
      <c r="G24" s="35">
        <f>IF(G8=0,0,G23/G8)</f>
        <v/>
      </c>
      <c r="H24" s="35">
        <f>IF(H8=0,0,H23/H8)</f>
        <v/>
      </c>
      <c r="I24" s="35">
        <f>IF(I8=0,0,I23/I8)</f>
        <v/>
      </c>
      <c r="J24" s="35">
        <f>IF(J8=0,0,J23/J8)</f>
        <v/>
      </c>
      <c r="K24" s="35">
        <f>IF(K8=0,0,K23/K8)</f>
        <v/>
      </c>
      <c r="L24" s="35">
        <f>IF(L8=0,0,L23/L8)</f>
        <v/>
      </c>
      <c r="M24" s="35">
        <f>IF(M8=0,0,M23/M8)</f>
        <v/>
      </c>
      <c r="N24" s="35">
        <f>IF(N8=0,0,N23/N8)</f>
        <v/>
      </c>
      <c r="O24" s="29">
        <f>IF(O8=0,0,O23/O8)</f>
        <v/>
      </c>
      <c r="P24" s="29">
        <f>IF(P8=0,0,P23/P8)</f>
        <v/>
      </c>
      <c r="Q24" s="29">
        <f>O24-P24</f>
        <v/>
      </c>
      <c r="R24" s="36">
        <f>"n/a"</f>
        <v/>
      </c>
    </row>
    <row r="26">
      <c r="B26" s="8" t="inlineStr">
        <is>
          <t>Plan P&amp;L ($000s) — for the chart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>
      <c r="C27" s="14" t="inlineStr">
        <is>
          <t>Jan-26</t>
        </is>
      </c>
      <c r="D27" s="14" t="inlineStr">
        <is>
          <t>Feb-26</t>
        </is>
      </c>
      <c r="E27" s="14" t="inlineStr">
        <is>
          <t>Mar-26</t>
        </is>
      </c>
      <c r="F27" s="14" t="inlineStr">
        <is>
          <t>Apr-26</t>
        </is>
      </c>
      <c r="G27" s="14" t="inlineStr">
        <is>
          <t>May-26</t>
        </is>
      </c>
      <c r="H27" s="14" t="inlineStr">
        <is>
          <t>Jun-26</t>
        </is>
      </c>
      <c r="I27" s="14" t="inlineStr">
        <is>
          <t>Jul-26</t>
        </is>
      </c>
      <c r="J27" s="14" t="inlineStr">
        <is>
          <t>Aug-26</t>
        </is>
      </c>
      <c r="K27" s="14" t="inlineStr">
        <is>
          <t>Sep-26</t>
        </is>
      </c>
      <c r="L27" s="14" t="inlineStr">
        <is>
          <t>Oct-26</t>
        </is>
      </c>
      <c r="M27" s="14" t="inlineStr">
        <is>
          <t>Nov-26</t>
        </is>
      </c>
      <c r="N27" s="14" t="inlineStr">
        <is>
          <t>Dec-26</t>
        </is>
      </c>
      <c r="O27" s="14" t="inlineStr">
        <is>
          <t>FY26</t>
        </is>
      </c>
    </row>
    <row r="28">
      <c r="B28" s="15" t="inlineStr">
        <is>
          <t>Plan net revenue</t>
        </is>
      </c>
      <c r="C28" s="28">
        <f>'02_Revenue_Build'!C23</f>
        <v/>
      </c>
      <c r="D28" s="28">
        <f>'02_Revenue_Build'!D23</f>
        <v/>
      </c>
      <c r="E28" s="28">
        <f>'02_Revenue_Build'!E23</f>
        <v/>
      </c>
      <c r="F28" s="28">
        <f>'02_Revenue_Build'!F23</f>
        <v/>
      </c>
      <c r="G28" s="28">
        <f>'02_Revenue_Build'!G23</f>
        <v/>
      </c>
      <c r="H28" s="28">
        <f>'02_Revenue_Build'!H23</f>
        <v/>
      </c>
      <c r="I28" s="28">
        <f>'02_Revenue_Build'!I23</f>
        <v/>
      </c>
      <c r="J28" s="28">
        <f>'02_Revenue_Build'!J23</f>
        <v/>
      </c>
      <c r="K28" s="28">
        <f>'02_Revenue_Build'!K23</f>
        <v/>
      </c>
      <c r="L28" s="28">
        <f>'02_Revenue_Build'!L23</f>
        <v/>
      </c>
      <c r="M28" s="28">
        <f>'02_Revenue_Build'!M23</f>
        <v/>
      </c>
      <c r="N28" s="28">
        <f>'02_Revenue_Build'!N23</f>
        <v/>
      </c>
      <c r="O28" s="28">
        <f>SUM(C28:N28)</f>
        <v/>
      </c>
    </row>
    <row r="29">
      <c r="B29" s="15" t="inlineStr">
        <is>
          <t>Plan EBITDA</t>
        </is>
      </c>
      <c r="C29" s="28">
        <f>'02_Revenue_Build'!C23-'03_COGS_Build'!C17-'04_OpEx'!C13</f>
        <v/>
      </c>
      <c r="D29" s="28">
        <f>'02_Revenue_Build'!D23-'03_COGS_Build'!D17-'04_OpEx'!D13</f>
        <v/>
      </c>
      <c r="E29" s="28">
        <f>'02_Revenue_Build'!E23-'03_COGS_Build'!E17-'04_OpEx'!E13</f>
        <v/>
      </c>
      <c r="F29" s="28">
        <f>'02_Revenue_Build'!F23-'03_COGS_Build'!F17-'04_OpEx'!F13</f>
        <v/>
      </c>
      <c r="G29" s="28">
        <f>'02_Revenue_Build'!G23-'03_COGS_Build'!G17-'04_OpEx'!G13</f>
        <v/>
      </c>
      <c r="H29" s="28">
        <f>'02_Revenue_Build'!H23-'03_COGS_Build'!H17-'04_OpEx'!H13</f>
        <v/>
      </c>
      <c r="I29" s="28">
        <f>'02_Revenue_Build'!I23-'03_COGS_Build'!I17-'04_OpEx'!I13</f>
        <v/>
      </c>
      <c r="J29" s="28">
        <f>'02_Revenue_Build'!J23-'03_COGS_Build'!J17-'04_OpEx'!J13</f>
        <v/>
      </c>
      <c r="K29" s="28">
        <f>'02_Revenue_Build'!K23-'03_COGS_Build'!K17-'04_OpEx'!K13</f>
        <v/>
      </c>
      <c r="L29" s="28">
        <f>'02_Revenue_Build'!L23-'03_COGS_Build'!L17-'04_OpEx'!L13</f>
        <v/>
      </c>
      <c r="M29" s="28">
        <f>'02_Revenue_Build'!M23-'03_COGS_Build'!M17-'04_OpEx'!M13</f>
        <v/>
      </c>
      <c r="N29" s="28">
        <f>'02_Revenue_Build'!N23-'03_COGS_Build'!N17-'04_OpEx'!N13</f>
        <v/>
      </c>
      <c r="O29" s="28">
        <f>SUM(C29:N29)</f>
        <v/>
      </c>
    </row>
    <row r="31">
      <c r="B31" t="inlineStr">
        <is>
          <t>Chart data (hidden-style, used by the line chart)</t>
        </is>
      </c>
      <c r="C31" s="14" t="inlineStr">
        <is>
          <t>Jan-26</t>
        </is>
      </c>
      <c r="D31" s="14" t="inlineStr">
        <is>
          <t>Feb-26</t>
        </is>
      </c>
      <c r="E31" s="14" t="inlineStr">
        <is>
          <t>Mar-26</t>
        </is>
      </c>
      <c r="F31" s="14" t="inlineStr">
        <is>
          <t>Apr-26</t>
        </is>
      </c>
      <c r="G31" s="14" t="inlineStr">
        <is>
          <t>May-26</t>
        </is>
      </c>
      <c r="H31" s="14" t="inlineStr">
        <is>
          <t>Jun-26</t>
        </is>
      </c>
      <c r="I31" s="14" t="inlineStr">
        <is>
          <t>Jul-26</t>
        </is>
      </c>
      <c r="J31" s="14" t="inlineStr">
        <is>
          <t>Aug-26</t>
        </is>
      </c>
      <c r="K31" s="14" t="inlineStr">
        <is>
          <t>Sep-26</t>
        </is>
      </c>
      <c r="L31" s="14" t="inlineStr">
        <is>
          <t>Oct-26</t>
        </is>
      </c>
      <c r="M31" s="14" t="inlineStr">
        <is>
          <t>Nov-26</t>
        </is>
      </c>
      <c r="N31" s="14" t="inlineStr">
        <is>
          <t>Dec-26</t>
        </is>
      </c>
    </row>
    <row r="32">
      <c r="B32" t="inlineStr">
        <is>
          <t>Forecast revenue</t>
        </is>
      </c>
      <c r="C32" s="28">
        <f>C8</f>
        <v/>
      </c>
      <c r="D32" s="28">
        <f>D8</f>
        <v/>
      </c>
      <c r="E32" s="28">
        <f>E8</f>
        <v/>
      </c>
      <c r="F32" s="28">
        <f>F8</f>
        <v/>
      </c>
      <c r="G32" s="28">
        <f>G8</f>
        <v/>
      </c>
      <c r="H32" s="28">
        <f>H8</f>
        <v/>
      </c>
      <c r="I32" s="28">
        <f>I8</f>
        <v/>
      </c>
      <c r="J32" s="28">
        <f>J8</f>
        <v/>
      </c>
      <c r="K32" s="28">
        <f>K8</f>
        <v/>
      </c>
      <c r="L32" s="28">
        <f>L8</f>
        <v/>
      </c>
      <c r="M32" s="28">
        <f>M8</f>
        <v/>
      </c>
      <c r="N32" s="28">
        <f>N8</f>
        <v/>
      </c>
    </row>
    <row r="33">
      <c r="B33" t="inlineStr">
        <is>
          <t>Plan revenue</t>
        </is>
      </c>
      <c r="C33" s="28">
        <f>C28</f>
        <v/>
      </c>
      <c r="D33" s="28">
        <f>D28</f>
        <v/>
      </c>
      <c r="E33" s="28">
        <f>E28</f>
        <v/>
      </c>
      <c r="F33" s="28">
        <f>F28</f>
        <v/>
      </c>
      <c r="G33" s="28">
        <f>G28</f>
        <v/>
      </c>
      <c r="H33" s="28">
        <f>H28</f>
        <v/>
      </c>
      <c r="I33" s="28">
        <f>I28</f>
        <v/>
      </c>
      <c r="J33" s="28">
        <f>J28</f>
        <v/>
      </c>
      <c r="K33" s="28">
        <f>K28</f>
        <v/>
      </c>
      <c r="L33" s="28">
        <f>L28</f>
        <v/>
      </c>
      <c r="M33" s="28">
        <f>M28</f>
        <v/>
      </c>
      <c r="N33" s="28">
        <f>N28</f>
        <v/>
      </c>
    </row>
    <row r="34">
      <c r="B34" t="inlineStr">
        <is>
          <t>Forecast EBITDA</t>
        </is>
      </c>
      <c r="C34" s="28">
        <f>C18</f>
        <v/>
      </c>
      <c r="D34" s="28">
        <f>D18</f>
        <v/>
      </c>
      <c r="E34" s="28">
        <f>E18</f>
        <v/>
      </c>
      <c r="F34" s="28">
        <f>F18</f>
        <v/>
      </c>
      <c r="G34" s="28">
        <f>G18</f>
        <v/>
      </c>
      <c r="H34" s="28">
        <f>H18</f>
        <v/>
      </c>
      <c r="I34" s="28">
        <f>I18</f>
        <v/>
      </c>
      <c r="J34" s="28">
        <f>J18</f>
        <v/>
      </c>
      <c r="K34" s="28">
        <f>K18</f>
        <v/>
      </c>
      <c r="L34" s="28">
        <f>L18</f>
        <v/>
      </c>
      <c r="M34" s="28">
        <f>M18</f>
        <v/>
      </c>
      <c r="N34" s="28">
        <f>N18</f>
        <v/>
      </c>
    </row>
    <row r="35">
      <c r="B35" t="inlineStr">
        <is>
          <t>Plan EBITDA</t>
        </is>
      </c>
      <c r="C35" s="28">
        <f>C29</f>
        <v/>
      </c>
      <c r="D35" s="28">
        <f>D29</f>
        <v/>
      </c>
      <c r="E35" s="28">
        <f>E29</f>
        <v/>
      </c>
      <c r="F35" s="28">
        <f>F29</f>
        <v/>
      </c>
      <c r="G35" s="28">
        <f>G29</f>
        <v/>
      </c>
      <c r="H35" s="28">
        <f>H29</f>
        <v/>
      </c>
      <c r="I35" s="28">
        <f>I29</f>
        <v/>
      </c>
      <c r="J35" s="28">
        <f>J29</f>
        <v/>
      </c>
      <c r="K35" s="28">
        <f>K29</f>
        <v/>
      </c>
      <c r="L35" s="28">
        <f>L29</f>
        <v/>
      </c>
      <c r="M35" s="28">
        <f>M29</f>
        <v/>
      </c>
      <c r="N35" s="28">
        <f>N29</f>
        <v/>
      </c>
    </row>
    <row r="52">
      <c r="B52" s="12" t="inlineStr">
        <is>
          <t>Switch the scenario on Assumptions to watch FY var and the charts move. Green cells on this tab are the conversation numbers.</t>
        </is>
      </c>
    </row>
  </sheetData>
  <conditionalFormatting sqref="R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R18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  <pageSetup orientation="landscape" paperSize="3" fitToHeight="0" fitToWidth="1"/>
  <headerFooter>
    <oddHeader/>
    <oddFooter>&amp;LNorthline Consumer Products  |  fictional sample  |  $000s&amp;RPage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N78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2">
      <c r="B2" s="1" t="inlineStr">
        <is>
          <t>Plan vs forecast bridge</t>
        </is>
      </c>
    </row>
    <row r="3">
      <c r="B3" s="3" t="inlineStr">
        <is>
          <t>FY walk: volume (constant mix) + mix + price for revenue; volume + mix + cost/unit for COGS; rate vs volume vs fixed for OpEx; then EBITDA.</t>
        </is>
      </c>
    </row>
    <row r="4">
      <c r="B4" t="inlineStr">
        <is>
          <t>Scenario</t>
        </is>
      </c>
      <c r="C4" s="11">
        <f>'01_Assumptions'!D6</f>
        <v/>
      </c>
    </row>
    <row r="6">
      <c r="B6" s="8" t="inlineStr">
        <is>
          <t>Product helpers (FY)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>
      <c r="B7" s="14" t="inlineStr">
        <is>
          <t>Product</t>
        </is>
      </c>
      <c r="C7" s="14" t="inlineStr">
        <is>
          <t>Plan vol</t>
        </is>
      </c>
      <c r="D7" s="14" t="inlineStr">
        <is>
          <t>Fcst vol</t>
        </is>
      </c>
      <c r="E7" s="14" t="inlineStr">
        <is>
          <t>Plan $/case</t>
        </is>
      </c>
      <c r="F7" s="14" t="inlineStr">
        <is>
          <t>Fcst $/case</t>
        </is>
      </c>
      <c r="G7" s="14" t="inlineStr">
        <is>
          <t>Plan CPU</t>
        </is>
      </c>
      <c r="H7" s="14" t="inlineStr">
        <is>
          <t>Fcst CPU</t>
        </is>
      </c>
      <c r="I7" s="14" t="inlineStr">
        <is>
          <t>Plan rev</t>
        </is>
      </c>
      <c r="J7" s="14" t="inlineStr">
        <is>
          <t>Fcst rev</t>
        </is>
      </c>
      <c r="K7" s="14" t="inlineStr">
        <is>
          <t>Plan COGS</t>
        </is>
      </c>
      <c r="L7" s="14" t="inlineStr">
        <is>
          <t>Fcst COGS</t>
        </is>
      </c>
      <c r="M7" s="14" t="inlineStr">
        <is>
          <t>Δvol × plan price</t>
        </is>
      </c>
      <c r="N7" s="14" t="inlineStr">
        <is>
          <t>Fcst vol × Δprice</t>
        </is>
      </c>
    </row>
    <row r="8">
      <c r="B8" s="18" t="inlineStr">
        <is>
          <t>RTD Beverages</t>
        </is>
      </c>
      <c r="C8" s="27">
        <f>'02_Revenue_Build'!O8</f>
        <v/>
      </c>
      <c r="D8" s="30">
        <f>'02_Revenue_Build'!O33</f>
        <v/>
      </c>
      <c r="E8" s="20">
        <f>'01_Assumptions'!C26</f>
        <v/>
      </c>
      <c r="F8" s="20">
        <f>'02_Revenue_Build'!O39</f>
        <v/>
      </c>
      <c r="G8" s="20">
        <f>'01_Assumptions'!H26</f>
        <v/>
      </c>
      <c r="H8" s="20">
        <f>'01_Assumptions'!I26</f>
        <v/>
      </c>
      <c r="I8" s="28">
        <f>'02_Revenue_Build'!O19</f>
        <v/>
      </c>
      <c r="J8" s="28">
        <f>'02_Revenue_Build'!O44</f>
        <v/>
      </c>
      <c r="K8" s="28">
        <f>'03_COGS_Build'!O13</f>
        <v/>
      </c>
      <c r="L8" s="28">
        <f>'03_COGS_Build'!O28</f>
        <v/>
      </c>
      <c r="M8" s="28">
        <f>(D8-C8)*E8</f>
        <v/>
      </c>
      <c r="N8" s="28">
        <f>D8*(F8-E8)</f>
        <v/>
      </c>
    </row>
    <row r="9">
      <c r="B9" s="18" t="inlineStr">
        <is>
          <t>Salty Snacks</t>
        </is>
      </c>
      <c r="C9" s="27">
        <f>'02_Revenue_Build'!O9</f>
        <v/>
      </c>
      <c r="D9" s="30">
        <f>'02_Revenue_Build'!O34</f>
        <v/>
      </c>
      <c r="E9" s="20">
        <f>'01_Assumptions'!C27</f>
        <v/>
      </c>
      <c r="F9" s="20">
        <f>'02_Revenue_Build'!O40</f>
        <v/>
      </c>
      <c r="G9" s="20">
        <f>'01_Assumptions'!H27</f>
        <v/>
      </c>
      <c r="H9" s="20">
        <f>'01_Assumptions'!I27</f>
        <v/>
      </c>
      <c r="I9" s="28">
        <f>'02_Revenue_Build'!O20</f>
        <v/>
      </c>
      <c r="J9" s="28">
        <f>'02_Revenue_Build'!O45</f>
        <v/>
      </c>
      <c r="K9" s="28">
        <f>'03_COGS_Build'!O14</f>
        <v/>
      </c>
      <c r="L9" s="28">
        <f>'03_COGS_Build'!O29</f>
        <v/>
      </c>
      <c r="M9" s="28">
        <f>(D9-C9)*E9</f>
        <v/>
      </c>
      <c r="N9" s="28">
        <f>D9*(F9-E9)</f>
        <v/>
      </c>
    </row>
    <row r="10">
      <c r="B10" s="18" t="inlineStr">
        <is>
          <t>Household Care</t>
        </is>
      </c>
      <c r="C10" s="27">
        <f>'02_Revenue_Build'!O10</f>
        <v/>
      </c>
      <c r="D10" s="30">
        <f>'02_Revenue_Build'!O35</f>
        <v/>
      </c>
      <c r="E10" s="20">
        <f>'01_Assumptions'!C28</f>
        <v/>
      </c>
      <c r="F10" s="20">
        <f>'02_Revenue_Build'!O41</f>
        <v/>
      </c>
      <c r="G10" s="20">
        <f>'01_Assumptions'!H28</f>
        <v/>
      </c>
      <c r="H10" s="20">
        <f>'01_Assumptions'!I28</f>
        <v/>
      </c>
      <c r="I10" s="28">
        <f>'02_Revenue_Build'!O21</f>
        <v/>
      </c>
      <c r="J10" s="28">
        <f>'02_Revenue_Build'!O46</f>
        <v/>
      </c>
      <c r="K10" s="28">
        <f>'03_COGS_Build'!O15</f>
        <v/>
      </c>
      <c r="L10" s="28">
        <f>'03_COGS_Build'!O30</f>
        <v/>
      </c>
      <c r="M10" s="28">
        <f>(D10-C10)*E10</f>
        <v/>
      </c>
      <c r="N10" s="28">
        <f>D10*(F10-E10)</f>
        <v/>
      </c>
    </row>
    <row r="11">
      <c r="B11" s="18" t="inlineStr">
        <is>
          <t>Personal Care</t>
        </is>
      </c>
      <c r="C11" s="27">
        <f>'02_Revenue_Build'!O11</f>
        <v/>
      </c>
      <c r="D11" s="30">
        <f>'02_Revenue_Build'!O36</f>
        <v/>
      </c>
      <c r="E11" s="20">
        <f>'01_Assumptions'!C29</f>
        <v/>
      </c>
      <c r="F11" s="20">
        <f>'02_Revenue_Build'!O42</f>
        <v/>
      </c>
      <c r="G11" s="20">
        <f>'01_Assumptions'!H29</f>
        <v/>
      </c>
      <c r="H11" s="20">
        <f>'01_Assumptions'!I29</f>
        <v/>
      </c>
      <c r="I11" s="28">
        <f>'02_Revenue_Build'!O22</f>
        <v/>
      </c>
      <c r="J11" s="28">
        <f>'02_Revenue_Build'!O47</f>
        <v/>
      </c>
      <c r="K11" s="28">
        <f>'03_COGS_Build'!O16</f>
        <v/>
      </c>
      <c r="L11" s="28">
        <f>'03_COGS_Build'!O31</f>
        <v/>
      </c>
      <c r="M11" s="28">
        <f>(D11-C11)*E11</f>
        <v/>
      </c>
      <c r="N11" s="28">
        <f>D11*(F11-E11)</f>
        <v/>
      </c>
    </row>
    <row r="12">
      <c r="B12" s="18" t="inlineStr">
        <is>
          <t>Total</t>
        </is>
      </c>
      <c r="C12" s="31">
        <f>SUM(C8:C11)</f>
        <v/>
      </c>
      <c r="D12" s="31">
        <f>SUM(D8:D11)</f>
        <v/>
      </c>
      <c r="E12" s="21">
        <f>IF(C12=0,0,I12/C12)</f>
        <v/>
      </c>
      <c r="F12" s="21">
        <f>IF(D12=0,0,J12/D12)</f>
        <v/>
      </c>
      <c r="G12" s="21">
        <f>IF(C12=0,0,K12/C12)</f>
        <v/>
      </c>
      <c r="H12" s="21">
        <f>IF(D12=0,0,L12/D12)</f>
        <v/>
      </c>
      <c r="I12" s="23">
        <f>SUM(I8:I11)</f>
        <v/>
      </c>
      <c r="J12" s="23">
        <f>SUM(J8:J11)</f>
        <v/>
      </c>
      <c r="K12" s="23">
        <f>SUM(K8:K11)</f>
        <v/>
      </c>
      <c r="L12" s="23">
        <f>SUM(L8:L11)</f>
        <v/>
      </c>
      <c r="M12" s="23">
        <f>SUM(M8:M11)</f>
        <v/>
      </c>
      <c r="N12" s="23">
        <f>SUM(N8:N11)</f>
        <v/>
      </c>
    </row>
    <row r="14">
      <c r="B14" s="8" t="inlineStr">
        <is>
          <t>Revenue walk ($000s)</t>
        </is>
      </c>
      <c r="C14" s="9" t="n"/>
      <c r="D14" s="9" t="n"/>
    </row>
    <row r="15">
      <c r="B15" s="14" t="inlineStr">
        <is>
          <t>Step</t>
        </is>
      </c>
      <c r="C15" s="14" t="inlineStr">
        <is>
          <t>$000s</t>
        </is>
      </c>
      <c r="D15" s="14" t="inlineStr">
        <is>
          <t>Note</t>
        </is>
      </c>
    </row>
    <row r="16">
      <c r="B16" s="18" t="inlineStr">
        <is>
          <t>Plan revenue</t>
        </is>
      </c>
      <c r="C16" s="23">
        <f>I12</f>
        <v/>
      </c>
      <c r="D16" s="37" t="inlineStr">
        <is>
          <t>Locked annual plan</t>
        </is>
      </c>
    </row>
    <row r="17">
      <c r="B17" s="33" t="inlineStr">
        <is>
          <t>Volume (constant mix)</t>
        </is>
      </c>
      <c r="C17" s="28">
        <f>(D12-C12)*E12</f>
        <v/>
      </c>
      <c r="D17" s="37" t="inlineStr">
        <is>
          <t>Δ total cases × plan ASP</t>
        </is>
      </c>
    </row>
    <row r="18">
      <c r="B18" s="33" t="inlineStr">
        <is>
          <t>Mix</t>
        </is>
      </c>
      <c r="C18" s="28">
        <f>M12-C17</f>
        <v/>
      </c>
      <c r="D18" s="37" t="inlineStr">
        <is>
          <t>Product mix vs plan ASP: Σ(Δvol × plan price) − volume-at-ASP</t>
        </is>
      </c>
    </row>
    <row r="19">
      <c r="B19" s="33" t="inlineStr">
        <is>
          <t>Price</t>
        </is>
      </c>
      <c r="C19" s="28">
        <f>N12</f>
        <v/>
      </c>
      <c r="D19" s="37" t="inlineStr">
        <is>
          <t>Σ forecast vol × Δ net $/case (includes scenario price factor)</t>
        </is>
      </c>
    </row>
    <row r="20">
      <c r="B20" s="18" t="inlineStr">
        <is>
          <t>Forecast revenue</t>
        </is>
      </c>
      <c r="C20" s="23">
        <f>C16+C17+C18+C19</f>
        <v/>
      </c>
      <c r="D20" s="37" t="inlineStr">
        <is>
          <t>Must equal 02_Revenue_Build FY forecast</t>
        </is>
      </c>
    </row>
    <row r="21">
      <c r="B21" t="inlineStr">
        <is>
          <t>Check vs revenue build</t>
        </is>
      </c>
      <c r="C21" s="28">
        <f>C20-'02_Revenue_Build'!O48</f>
        <v/>
      </c>
      <c r="D21" s="12" t="inlineStr">
        <is>
          <t>Should be ~0 (rounding).</t>
        </is>
      </c>
    </row>
    <row r="23">
      <c r="B23" s="8" t="inlineStr">
        <is>
          <t>COGS walk ($000s)</t>
        </is>
      </c>
      <c r="C23" s="9" t="n"/>
      <c r="D23" s="9" t="n"/>
    </row>
    <row r="24">
      <c r="B24" s="14" t="inlineStr">
        <is>
          <t>Step</t>
        </is>
      </c>
      <c r="C24" s="14" t="inlineStr">
        <is>
          <t>$000s</t>
        </is>
      </c>
      <c r="D24" s="14" t="inlineStr">
        <is>
          <t>Note</t>
        </is>
      </c>
    </row>
    <row r="25">
      <c r="B25" s="18" t="inlineStr">
        <is>
          <t>Plan COGS</t>
        </is>
      </c>
      <c r="C25" s="23">
        <f>K12</f>
        <v/>
      </c>
      <c r="D25" s="37" t="inlineStr">
        <is>
          <t>Locked annual plan</t>
        </is>
      </c>
    </row>
    <row r="26">
      <c r="B26" s="33" t="inlineStr">
        <is>
          <t>Volume (constant mix)</t>
        </is>
      </c>
      <c r="C26" s="28">
        <f>(D12-C12)*G12</f>
        <v/>
      </c>
      <c r="D26" s="37" t="inlineStr">
        <is>
          <t>Δ total cases × plan CPU</t>
        </is>
      </c>
    </row>
    <row r="27">
      <c r="B27" s="33" t="inlineStr">
        <is>
          <t>Mix</t>
        </is>
      </c>
      <c r="C27" s="28">
        <f>SUMPRODUCT((D8:D11-C8:C11)*G8:G11)-C26</f>
        <v/>
      </c>
      <c r="D27" s="37" t="inlineStr">
        <is>
          <t>Product mix vs plan CPU</t>
        </is>
      </c>
    </row>
    <row r="28">
      <c r="B28" s="33" t="inlineStr">
        <is>
          <t>Cost / unit</t>
        </is>
      </c>
      <c r="C28" s="28">
        <f>SUMPRODUCT(D8:D11,(H8:H11-G8:G11))</f>
        <v/>
      </c>
      <c r="D28" s="37" t="inlineStr">
        <is>
          <t>Inflation + scenario unit-cost factor at forecast volume</t>
        </is>
      </c>
    </row>
    <row r="29">
      <c r="B29" s="18" t="inlineStr">
        <is>
          <t>Forecast COGS</t>
        </is>
      </c>
      <c r="C29" s="23">
        <f>C25+C26+C27+C28</f>
        <v/>
      </c>
      <c r="D29" s="37" t="inlineStr">
        <is>
          <t>Must equal 03_COGS_Build FY forecast</t>
        </is>
      </c>
    </row>
    <row r="30">
      <c r="B30" t="inlineStr">
        <is>
          <t>Check vs COGS build</t>
        </is>
      </c>
      <c r="C30" s="28">
        <f>C29-'03_COGS_Build'!O32</f>
        <v/>
      </c>
    </row>
    <row r="32">
      <c r="B32" s="8" t="inlineStr">
        <is>
          <t>OpEx walk ($000s)</t>
        </is>
      </c>
      <c r="C32" s="9" t="n"/>
      <c r="D32" s="9" t="n"/>
    </row>
    <row r="33">
      <c r="B33" s="14" t="inlineStr">
        <is>
          <t>Step</t>
        </is>
      </c>
      <c r="C33" s="14" t="inlineStr">
        <is>
          <t>$000s</t>
        </is>
      </c>
      <c r="D33" s="14" t="inlineStr">
        <is>
          <t>Note</t>
        </is>
      </c>
    </row>
    <row r="34">
      <c r="B34" s="18" t="inlineStr">
        <is>
          <t>Plan OpEx</t>
        </is>
      </c>
      <c r="C34" s="23">
        <f>'04_OpEx'!O13</f>
        <v/>
      </c>
      <c r="D34" s="38" t="inlineStr">
        <is>
          <t>Locked annual plan</t>
        </is>
      </c>
    </row>
    <row r="35">
      <c r="B35" s="33" t="inlineStr">
        <is>
          <t>Sales-driven (plan rates)</t>
        </is>
      </c>
      <c r="C35" s="28">
        <f>('02_Revenue_Build'!O48-'02_Revenue_Build'!O23)*('01_Assumptions'!C33+'01_Assumptions'!C34)</f>
        <v/>
      </c>
      <c r="D35" s="38" t="inlineStr">
        <is>
          <t>Δ revenue × (plan commission + plan marketing %)</t>
        </is>
      </c>
    </row>
    <row r="36">
      <c r="B36" s="33" t="inlineStr">
        <is>
          <t>Selling / marketing rate</t>
        </is>
      </c>
      <c r="C36" s="28">
        <f>'02_Revenue_Build'!O48*(('01_Assumptions'!D33-'01_Assumptions'!C33)+('01_Assumptions'!D34-'01_Assumptions'!C34))</f>
        <v/>
      </c>
      <c r="D36" s="38" t="inlineStr">
        <is>
          <t>Forecast revenue × Δ rates</t>
        </is>
      </c>
    </row>
    <row r="37">
      <c r="B37" s="33" t="inlineStr">
        <is>
          <t>Distribution volume</t>
        </is>
      </c>
      <c r="C37" s="28">
        <f>('02_Revenue_Build'!O37-'02_Revenue_Build'!O12)*'01_Assumptions'!C35</f>
        <v/>
      </c>
      <c r="D37" s="38" t="inlineStr">
        <is>
          <t>Δ cases × plan $ per case</t>
        </is>
      </c>
    </row>
    <row r="38">
      <c r="B38" s="33" t="inlineStr">
        <is>
          <t>Distribution rate</t>
        </is>
      </c>
      <c r="C38" s="28">
        <f>'02_Revenue_Build'!O37*('01_Assumptions'!D35-'01_Assumptions'!C35)</f>
        <v/>
      </c>
      <c r="D38" s="38" t="inlineStr">
        <is>
          <t>Forecast cases × Δ $ per case</t>
        </is>
      </c>
    </row>
    <row r="39" ht="32" customHeight="1">
      <c r="B39" s="33" t="inlineStr">
        <is>
          <t>Fixed &amp; discretionary</t>
        </is>
      </c>
      <c r="C39" s="28">
        <f>'04_OpEx'!O23-C34-C35-C36-C37-C38</f>
        <v/>
      </c>
      <c r="D39" s="38" t="inlineStr">
        <is>
          <t>Monthly fixed, G&amp;A/R&amp;D, marketing campaigns, scenario OpEx factor — plug to forecast</t>
        </is>
      </c>
    </row>
    <row r="40">
      <c r="B40" s="18" t="inlineStr">
        <is>
          <t>Forecast OpEx</t>
        </is>
      </c>
      <c r="C40" s="23">
        <f>C34+C35+C36+C37+C38+C39</f>
        <v/>
      </c>
      <c r="D40" s="38" t="inlineStr">
        <is>
          <t>Must equal 04_OpEx FY forecast</t>
        </is>
      </c>
    </row>
    <row r="41">
      <c r="B41" t="inlineStr">
        <is>
          <t>Check vs OpEx</t>
        </is>
      </c>
      <c r="C41" s="28">
        <f>C40-'04_OpEx'!O23</f>
        <v/>
      </c>
    </row>
    <row r="43">
      <c r="B43" s="8" t="inlineStr">
        <is>
          <t>EBITDA walk ($000s)</t>
        </is>
      </c>
      <c r="C43" s="9" t="n"/>
      <c r="D43" s="9" t="n"/>
    </row>
    <row r="44">
      <c r="B44" s="14" t="inlineStr">
        <is>
          <t>Step</t>
        </is>
      </c>
      <c r="C44" s="14" t="inlineStr">
        <is>
          <t>$000s</t>
        </is>
      </c>
      <c r="D44" s="14" t="inlineStr">
        <is>
          <t>Note</t>
        </is>
      </c>
    </row>
    <row r="45">
      <c r="B45" s="18" t="inlineStr">
        <is>
          <t>Plan EBITDA</t>
        </is>
      </c>
      <c r="C45" s="23">
        <f>'05_P&amp;L_Forecast'!P18</f>
        <v/>
      </c>
      <c r="D45" s="37" t="inlineStr">
        <is>
          <t>From 05_P&amp;L_Forecast FY plan</t>
        </is>
      </c>
    </row>
    <row r="46">
      <c r="B46" s="33" t="inlineStr">
        <is>
          <t>Gross profit — revenue</t>
        </is>
      </c>
      <c r="C46" s="28">
        <f>C17+C18+C19</f>
        <v/>
      </c>
      <c r="D46" s="37" t="inlineStr">
        <is>
          <t>Volume + mix + price (helps EBITDA)</t>
        </is>
      </c>
    </row>
    <row r="47">
      <c r="B47" s="33" t="inlineStr">
        <is>
          <t>Gross profit — COGS</t>
        </is>
      </c>
      <c r="C47" s="28">
        <f>-(C26+C27+C28)</f>
        <v/>
      </c>
      <c r="D47" s="37" t="inlineStr">
        <is>
          <t>Volume + mix + cost/unit (sign flipped: higher COGS hurts)</t>
        </is>
      </c>
    </row>
    <row r="48">
      <c r="B48" s="33" t="inlineStr">
        <is>
          <t>OpEx</t>
        </is>
      </c>
      <c r="C48" s="28">
        <f>-(C35+C36+C37+C38+C39)</f>
        <v/>
      </c>
      <c r="D48" s="37" t="inlineStr">
        <is>
          <t>Sign flipped: higher OpEx hurts EBITDA</t>
        </is>
      </c>
    </row>
    <row r="49">
      <c r="B49" s="18" t="inlineStr">
        <is>
          <t>Forecast EBITDA</t>
        </is>
      </c>
      <c r="C49" s="23">
        <f>C45+C46+C47+C48</f>
        <v/>
      </c>
      <c r="D49" s="37" t="inlineStr">
        <is>
          <t>Must equal 05_P&amp;L_Forecast FY forecast</t>
        </is>
      </c>
    </row>
    <row r="50">
      <c r="B50" t="inlineStr">
        <is>
          <t>Check vs P&amp;L</t>
        </is>
      </c>
      <c r="C50" s="28">
        <f>C49-'05_P&amp;L_Forecast'!O18</f>
        <v/>
      </c>
    </row>
    <row r="52">
      <c r="B52" s="8" t="inlineStr">
        <is>
          <t>Waterfall chart data — EBITDA</t>
        </is>
      </c>
      <c r="C52" s="9" t="n"/>
      <c r="D52" s="9" t="n"/>
    </row>
    <row r="53">
      <c r="B53" s="14" t="inlineStr">
        <is>
          <t>Step</t>
        </is>
      </c>
      <c r="C53" s="14" t="inlineStr">
        <is>
          <t>Base</t>
        </is>
      </c>
      <c r="D53" s="14" t="inlineStr">
        <is>
          <t>Up</t>
        </is>
      </c>
      <c r="E53" s="14" t="inlineStr">
        <is>
          <t>Down</t>
        </is>
      </c>
      <c r="F53" s="14" t="inlineStr">
        <is>
          <t>Connector</t>
        </is>
      </c>
    </row>
    <row r="54">
      <c r="B54" s="15" t="inlineStr">
        <is>
          <t>Plan EBITDA</t>
        </is>
      </c>
      <c r="C54" s="28">
        <f>C45</f>
        <v/>
      </c>
      <c r="D54" s="28" t="n">
        <v>0</v>
      </c>
      <c r="E54" s="28" t="n">
        <v>0</v>
      </c>
      <c r="F54" s="28" t="n">
        <v>0</v>
      </c>
    </row>
    <row r="55">
      <c r="B55" s="15" t="inlineStr">
        <is>
          <t>Revenue (vol/mix/price)</t>
        </is>
      </c>
      <c r="C55" s="28" t="n">
        <v>0</v>
      </c>
      <c r="D55" s="28">
        <f>MAX(C46,0)</f>
        <v/>
      </c>
      <c r="E55" s="28">
        <f>MAX(-C46,0)</f>
        <v/>
      </c>
      <c r="F55" s="28">
        <f>IF(C46&gt;=0,C45,C45+C46)</f>
        <v/>
      </c>
    </row>
    <row r="56">
      <c r="B56" s="15" t="inlineStr">
        <is>
          <t>COGS</t>
        </is>
      </c>
      <c r="C56" s="28" t="n">
        <v>0</v>
      </c>
      <c r="D56" s="28">
        <f>MAX(C47,0)</f>
        <v/>
      </c>
      <c r="E56" s="28">
        <f>MAX(-C47,0)</f>
        <v/>
      </c>
      <c r="F56" s="28">
        <f>IF(C47&gt;=0,C45+C46,C45+C46+C47)</f>
        <v/>
      </c>
    </row>
    <row r="57">
      <c r="B57" s="15" t="inlineStr">
        <is>
          <t>OpEx</t>
        </is>
      </c>
      <c r="C57" s="28" t="n">
        <v>0</v>
      </c>
      <c r="D57" s="28">
        <f>MAX(C48,0)</f>
        <v/>
      </c>
      <c r="E57" s="28">
        <f>MAX(-C48,0)</f>
        <v/>
      </c>
      <c r="F57" s="28">
        <f>IF(C48&gt;=0,C45+C46+C47,C45+C46+C47+C48)</f>
        <v/>
      </c>
    </row>
    <row r="58">
      <c r="B58" s="15" t="inlineStr">
        <is>
          <t>Forecast EBITDA</t>
        </is>
      </c>
      <c r="C58" s="28">
        <f>C49</f>
        <v/>
      </c>
      <c r="D58" s="28" t="n">
        <v>0</v>
      </c>
      <c r="E58" s="28" t="n">
        <v>0</v>
      </c>
      <c r="F58" s="28" t="n">
        <v>0</v>
      </c>
    </row>
    <row r="78">
      <c r="B78" s="26" t="inlineStr">
        <is>
          <t>Volume (constant mix) uses plan ASP so mix is the residual of product-level volume. Price is forecast volume × Δ net $/case. Checks next to each walk should be ~0.</t>
        </is>
      </c>
    </row>
  </sheetData>
  <pageMargins left="0.75" right="0.75" top="1" bottom="1" header="0.5" footer="0.5"/>
  <pageSetup orientation="landscape" paperSize="3" fitToHeight="0" fitToWidth="1"/>
  <headerFooter>
    <oddHeader/>
    <oddFooter>&amp;LNorthline Consumer Products  |  fictional sample  |  $000s&amp;RPage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B2:D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82" customWidth="1" min="4" max="4"/>
  </cols>
  <sheetData>
    <row r="2">
      <c r="B2" s="1" t="inlineStr">
        <is>
          <t>Data dictionary</t>
        </is>
      </c>
    </row>
    <row r="3">
      <c r="B3" s="3" t="inlineStr">
        <is>
          <t>Field definitions so another analyst can inherit the file.</t>
        </is>
      </c>
    </row>
    <row r="5">
      <c r="B5" s="39" t="inlineStr">
        <is>
          <t>Field</t>
        </is>
      </c>
      <c r="C5" s="39" t="inlineStr">
        <is>
          <t>Tab</t>
        </is>
      </c>
      <c r="D5" s="39" t="inlineStr">
        <is>
          <t>Definition</t>
        </is>
      </c>
    </row>
    <row r="6" ht="32" customHeight="1">
      <c r="B6" s="18" t="inlineStr">
        <is>
          <t>Scenario</t>
        </is>
      </c>
      <c r="C6" s="15" t="inlineStr">
        <is>
          <t>01_Assumptions</t>
        </is>
      </c>
      <c r="D6" s="40" t="inlineStr">
        <is>
          <t>1 Base / 2 Upside / 3 Downside. Indexes the factor table and scales the latest-view forecast only.</t>
        </is>
      </c>
    </row>
    <row r="7" ht="32" customHeight="1">
      <c r="B7" s="18" t="inlineStr">
        <is>
          <t>Volume / price / unit-cost / disc. OpEx factors</t>
        </is>
      </c>
      <c r="C7" s="15" t="inlineStr">
        <is>
          <t>01_Assumptions</t>
        </is>
      </c>
      <c r="D7" s="40" t="inlineStr">
        <is>
          <t>Applied to forecast volume, forecast net $/case, forecast CPU, and forecast marketing + R&amp;D fixed.</t>
        </is>
      </c>
    </row>
    <row r="8" ht="32" customHeight="1">
      <c r="B8" s="18" t="inlineStr">
        <is>
          <t>Tax rate</t>
        </is>
      </c>
      <c r="C8" s="15" t="inlineStr">
        <is>
          <t>01_Assumptions</t>
        </is>
      </c>
      <c r="D8" s="40" t="inlineStr">
        <is>
          <t>Applied to EBIT on the P&amp;L. Sample 25%.</t>
        </is>
      </c>
    </row>
    <row r="9" ht="32" customHeight="1">
      <c r="B9" s="18" t="inlineStr">
        <is>
          <t>D&amp;A % of sales</t>
        </is>
      </c>
      <c r="C9" s="15" t="inlineStr">
        <is>
          <t>01_Assumptions</t>
        </is>
      </c>
      <c r="D9" s="40" t="inlineStr">
        <is>
          <t>Simple D&amp;A driver for the P&amp;L (not an asset rollforward).</t>
        </is>
      </c>
    </row>
    <row r="10" ht="32" customHeight="1">
      <c r="B10" s="18" t="inlineStr">
        <is>
          <t>Cost inflation</t>
        </is>
      </c>
      <c r="C10" s="15" t="inlineStr">
        <is>
          <t>01_Assumptions</t>
        </is>
      </c>
      <c r="D10" s="40" t="inlineStr">
        <is>
          <t>Forecast CPU = plan CPU × (1 + inflation) × unit-cost factor.</t>
        </is>
      </c>
    </row>
    <row r="11" ht="32" customHeight="1">
      <c r="B11" s="18" t="inlineStr">
        <is>
          <t>Plan net $/case</t>
        </is>
      </c>
      <c r="C11" s="15" t="inlineStr">
        <is>
          <t>01_Assumptions</t>
        </is>
      </c>
      <c r="D11" s="40" t="inlineStr">
        <is>
          <t>Yellow input. Net selling price used in the locked plan.</t>
        </is>
      </c>
    </row>
    <row r="12" ht="32" customHeight="1">
      <c r="B12" s="18" t="inlineStr">
        <is>
          <t>Fcst net $/case</t>
        </is>
      </c>
      <c r="C12" s="15" t="inlineStr">
        <is>
          <t>01_Assumptions</t>
        </is>
      </c>
      <c r="D12" s="40" t="inlineStr">
        <is>
          <t>Yellow input. Latest-view price, then × price factor.</t>
        </is>
      </c>
    </row>
    <row r="13" ht="32" customHeight="1">
      <c r="B13" s="18" t="inlineStr">
        <is>
          <t>Material / labor / overhead $/case</t>
        </is>
      </c>
      <c r="C13" s="15" t="inlineStr">
        <is>
          <t>01_Assumptions</t>
        </is>
      </c>
      <c r="D13" s="40" t="inlineStr">
        <is>
          <t>Plan unit-cost stack. Plan CPU = sum of the three.</t>
        </is>
      </c>
    </row>
    <row r="14" ht="32" customHeight="1">
      <c r="B14" s="18" t="inlineStr">
        <is>
          <t>Selling commission %</t>
        </is>
      </c>
      <c r="C14" s="15" t="inlineStr">
        <is>
          <t>01_Assumptions</t>
        </is>
      </c>
      <c r="D14" s="40" t="inlineStr">
        <is>
          <t>Variable selling cost. Plan and forecast rates can differ.</t>
        </is>
      </c>
    </row>
    <row r="15" ht="32" customHeight="1">
      <c r="B15" s="18" t="inlineStr">
        <is>
          <t>Marketing % of sales</t>
        </is>
      </c>
      <c r="C15" s="15" t="inlineStr">
        <is>
          <t>01_Assumptions</t>
        </is>
      </c>
      <c r="D15" s="40" t="inlineStr">
        <is>
          <t>Brand / trade rate on top of monthly campaign dollars.</t>
        </is>
      </c>
    </row>
    <row r="16" ht="32" customHeight="1">
      <c r="B16" s="18" t="inlineStr">
        <is>
          <t>Distribution $ per case</t>
        </is>
      </c>
      <c r="C16" s="15" t="inlineStr">
        <is>
          <t>01_Assumptions</t>
        </is>
      </c>
      <c r="D16" s="40" t="inlineStr">
        <is>
          <t>Freight and warehousing per case, plus a monthly fixed line.</t>
        </is>
      </c>
    </row>
    <row r="17" ht="32" customHeight="1">
      <c r="B17" s="18" t="inlineStr">
        <is>
          <t>Monthly fixed OpEx</t>
        </is>
      </c>
      <c r="C17" s="15" t="inlineStr">
        <is>
          <t>01_Assumptions</t>
        </is>
      </c>
      <c r="D17" s="40" t="inlineStr">
        <is>
          <t>Yellow inputs by cost center × month, plan and forecast.</t>
        </is>
      </c>
    </row>
    <row r="18" ht="32" customHeight="1">
      <c r="B18" s="18" t="inlineStr">
        <is>
          <t>Plan volume</t>
        </is>
      </c>
      <c r="C18" s="15" t="inlineStr">
        <is>
          <t>01_Assumptions</t>
        </is>
      </c>
      <c r="D18" s="40" t="inlineStr">
        <is>
          <t>Locked plan cases (000s) by product × month.</t>
        </is>
      </c>
    </row>
    <row r="19" ht="32" customHeight="1">
      <c r="B19" s="18" t="inlineStr">
        <is>
          <t>Forecast volume (latest view)</t>
        </is>
      </c>
      <c r="C19" s="15" t="inlineStr">
        <is>
          <t>01_Assumptions</t>
        </is>
      </c>
      <c r="D19" s="40" t="inlineStr">
        <is>
          <t>Reforecast cases (000s) by product × month, before the scenario volume factor.</t>
        </is>
      </c>
    </row>
    <row r="20" ht="32" customHeight="1">
      <c r="B20" s="18" t="inlineStr">
        <is>
          <t>Plan / forecast revenue</t>
        </is>
      </c>
      <c r="C20" s="15" t="inlineStr">
        <is>
          <t>02_Revenue_Build</t>
        </is>
      </c>
      <c r="D20" s="40" t="inlineStr">
        <is>
          <t>Volume × net $/case. $000s = 000 cases × $ per case.</t>
        </is>
      </c>
    </row>
    <row r="21" ht="32" customHeight="1">
      <c r="B21" s="18" t="inlineStr">
        <is>
          <t>ASP</t>
        </is>
      </c>
      <c r="C21" s="15" t="inlineStr">
        <is>
          <t>02_Revenue_Build</t>
        </is>
      </c>
      <c r="D21" s="40" t="inlineStr">
        <is>
          <t>Net revenue ÷ cases. Mix % is share of total cases.</t>
        </is>
      </c>
    </row>
    <row r="22" ht="32" customHeight="1">
      <c r="B22" s="18" t="inlineStr">
        <is>
          <t>COGS</t>
        </is>
      </c>
      <c r="C22" s="15" t="inlineStr">
        <is>
          <t>03_COGS_Build</t>
        </is>
      </c>
      <c r="D22" s="40" t="inlineStr">
        <is>
          <t>Volume × CPU. Gross profit = revenue − COGS.</t>
        </is>
      </c>
    </row>
    <row r="23" ht="32" customHeight="1">
      <c r="B23" s="18" t="inlineStr">
        <is>
          <t>OpEx by cost center</t>
        </is>
      </c>
      <c r="C23" s="15" t="inlineStr">
        <is>
          <t>04_OpEx</t>
        </is>
      </c>
      <c r="D23" s="40" t="inlineStr">
        <is>
          <t>Selling, marketing, distribution, G&amp;A, R&amp;D. Forecast marketing + R&amp;D fixed × discretionary factor.</t>
        </is>
      </c>
    </row>
    <row r="24" ht="32" customHeight="1">
      <c r="B24" s="18" t="inlineStr">
        <is>
          <t>Forecast P&amp;L</t>
        </is>
      </c>
      <c r="C24" s="15" t="inlineStr">
        <is>
          <t>05_P&amp;L_Forecast</t>
        </is>
      </c>
      <c r="D24" s="40" t="inlineStr">
        <is>
          <t>12-month latest view. FY Plan / Var / Var % on the right. D&amp;A = rate × revenue; tax = rate × EBIT.</t>
        </is>
      </c>
    </row>
    <row r="25" ht="32" customHeight="1">
      <c r="B25" s="18" t="inlineStr">
        <is>
          <t>Volume (constant mix)</t>
        </is>
      </c>
      <c r="C25" s="15" t="inlineStr">
        <is>
          <t>06_Bridge</t>
        </is>
      </c>
      <c r="D25" s="40" t="inlineStr">
        <is>
          <t>(Forecast cases − plan cases) × plan ASP.</t>
        </is>
      </c>
    </row>
    <row r="26" ht="32" customHeight="1">
      <c r="B26" s="18" t="inlineStr">
        <is>
          <t>Mix</t>
        </is>
      </c>
      <c r="C26" s="15" t="inlineStr">
        <is>
          <t>06_Bridge</t>
        </is>
      </c>
      <c r="D26" s="40" t="inlineStr">
        <is>
          <t>Σ(Δvol × plan price) − volume-at-ASP. Mix vs the locked plan assortment.</t>
        </is>
      </c>
    </row>
    <row r="27" ht="32" customHeight="1">
      <c r="B27" s="18" t="inlineStr">
        <is>
          <t>Price</t>
        </is>
      </c>
      <c r="C27" s="15" t="inlineStr">
        <is>
          <t>06_Bridge</t>
        </is>
      </c>
      <c r="D27" s="40" t="inlineStr">
        <is>
          <t>Σ forecast vol × (forecast $/case − plan $/case).</t>
        </is>
      </c>
    </row>
    <row r="28" ht="32" customHeight="1">
      <c r="B28" s="18" t="inlineStr">
        <is>
          <t>Cost / unit (COGS walk)</t>
        </is>
      </c>
      <c r="C28" s="15" t="inlineStr">
        <is>
          <t>06_Bridge</t>
        </is>
      </c>
      <c r="D28" s="40" t="inlineStr">
        <is>
          <t>Σ forecast vol × (forecast CPU − plan CPU): inflation + scenario.</t>
        </is>
      </c>
    </row>
    <row r="29" ht="32" customHeight="1">
      <c r="B29" s="18" t="inlineStr">
        <is>
          <t>EBITDA walk</t>
        </is>
      </c>
      <c r="C29" s="15" t="inlineStr">
        <is>
          <t>06_Bridge</t>
        </is>
      </c>
      <c r="D29" s="40" t="inlineStr">
        <is>
          <t>Plan EBITDA + revenue walk − COGS walk − OpEx walk = forecast EBITDA.</t>
        </is>
      </c>
    </row>
    <row r="30" ht="32" customHeight="1">
      <c r="B30" s="18" t="inlineStr">
        <is>
          <t>Units</t>
        </is>
      </c>
      <c r="C30" s="15" t="inlineStr">
        <is>
          <t>All</t>
        </is>
      </c>
      <c r="D30" s="40" t="inlineStr">
        <is>
          <t>Dollars in $000s. Volume in 000 cases. Prices and CPU in $ per case. Rates in %.</t>
        </is>
      </c>
    </row>
    <row r="31">
      <c r="B31" s="12" t="inlineStr">
        <is>
          <t>All sample numbers are fictional. Built for a public GitHub portfolio — no employer data.</t>
        </is>
      </c>
    </row>
  </sheetData>
  <pageMargins left="0.75" right="0.75" top="1" bottom="1" header="0.5" footer="0.5"/>
  <pageSetup orientation="landscape" paperSize="3" fitToHeight="0" fitToWidth="1"/>
  <headerFooter>
    <oddHeader/>
    <oddFooter>&amp;LNorthline Consumer Products  |  fictional sample  |  $000s&amp;RPage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Sai Siri Bandaru</dc:creator>
  <dc:title>Northline Driver-Based Forecast</dc:title>
  <dcterms:created xsi:type="dcterms:W3CDTF">2026-09-02T01:36:35Z</dcterms:created>
  <dcterms:modified xsi:type="dcterms:W3CDTF">2026-09-02T01:36:35Z</dcterms:modified>
</cp:coreProperties>
</file>